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shit\OneDrive\Desktop\PROJECT PORTFOLIO 2026 TMF\New folder (4)\"/>
    </mc:Choice>
  </mc:AlternateContent>
  <bookViews>
    <workbookView xWindow="0" yWindow="0" windowWidth="23040" windowHeight="8496" activeTab="6"/>
  </bookViews>
  <sheets>
    <sheet name="README" sheetId="1" r:id="rId1"/>
    <sheet name="Protocol Summary" sheetId="2" r:id="rId2"/>
    <sheet name="Subjects &amp; Visits" sheetId="3" r:id="rId3"/>
    <sheet name="Screening" sheetId="4" r:id="rId4"/>
    <sheet name="Demographics" sheetId="5" r:id="rId5"/>
    <sheet name="Labs" sheetId="6" r:id="rId6"/>
    <sheet name="Adverse Events" sheetId="7" r:id="rId7"/>
    <sheet name="Tumor Assessment" sheetId="8" r:id="rId8"/>
    <sheet name="Query Tracker" sheetId="9" r:id="rId9"/>
    <sheet name="Data Review Report" sheetId="10" r:id="rId10"/>
    <sheet name="Portfolio Summary" sheetId="11" r:id="rId11"/>
  </sheets>
  <calcPr calcId="162913"/>
</workbook>
</file>

<file path=xl/calcChain.xml><?xml version="1.0" encoding="utf-8"?>
<calcChain xmlns="http://schemas.openxmlformats.org/spreadsheetml/2006/main">
  <c r="B11" i="10" l="1"/>
  <c r="B10" i="10"/>
  <c r="B9" i="10"/>
  <c r="F6" i="10"/>
  <c r="B6" i="10"/>
  <c r="B8" i="10" s="1"/>
  <c r="F5" i="10"/>
  <c r="B5" i="10"/>
  <c r="B7" i="10" s="1"/>
  <c r="F4" i="10"/>
  <c r="J7" i="9"/>
  <c r="J6" i="9"/>
  <c r="J5" i="9"/>
  <c r="J4" i="9"/>
  <c r="F8" i="5"/>
  <c r="F7" i="5"/>
  <c r="F6" i="5"/>
  <c r="F5" i="5"/>
  <c r="F4" i="5"/>
</calcChain>
</file>

<file path=xl/sharedStrings.xml><?xml version="1.0" encoding="utf-8"?>
<sst xmlns="http://schemas.openxmlformats.org/spreadsheetml/2006/main" count="444" uniqueCount="284">
  <si>
    <t>Clinical Data Management Portfolio Project Package</t>
  </si>
  <si>
    <t>Workbook Purpose</t>
  </si>
  <si>
    <t>Portfolio-ready simulation for an entry-level Clinical Data Coordinator role in CRO/hospital settings.</t>
  </si>
  <si>
    <t>Project Title</t>
  </si>
  <si>
    <t>Phase II Oncology Immunotherapy Trial: Data Review &amp; Query Management Simulation</t>
  </si>
  <si>
    <t>Tools Simulated</t>
  </si>
  <si>
    <t>REDCap EDC + Excel Query Tracker + Data Review Metrics</t>
  </si>
  <si>
    <t>Mock Study</t>
  </si>
  <si>
    <t>Open-label Phase II oncology immunotherapy study with 5 subjects for portfolio demonstration.</t>
  </si>
  <si>
    <t>How to Use</t>
  </si>
  <si>
    <t>Build the same forms in REDCap, enter the included mock data, screenshot evidence, then use this workbook as the query tracker and results package.</t>
  </si>
  <si>
    <t>Important Note</t>
  </si>
  <si>
    <t>All data are fictional and created for educational/portfolio use only. No real patient data.</t>
  </si>
  <si>
    <t>Recommended Portfolio Evidence</t>
  </si>
  <si>
    <t>1</t>
  </si>
  <si>
    <t>Mini protocol summary</t>
  </si>
  <si>
    <t>2</t>
  </si>
  <si>
    <t>REDCap eCRF screenshots</t>
  </si>
  <si>
    <t>3</t>
  </si>
  <si>
    <t>Entered subject data</t>
  </si>
  <si>
    <t>4</t>
  </si>
  <si>
    <t>Query tracker</t>
  </si>
  <si>
    <t>5</t>
  </si>
  <si>
    <t>Data review report</t>
  </si>
  <si>
    <t>6</t>
  </si>
  <si>
    <t>Final portfolio summary slide/PDF</t>
  </si>
  <si>
    <t>Mock Protocol Summary: XYZ-101-ONC-2026</t>
  </si>
  <si>
    <t>Protocol Title</t>
  </si>
  <si>
    <t>A Phase II, Open-Label, Multicenter Study Evaluating XYZ-101 Immunotherapy in Advanced Solid Tumors</t>
  </si>
  <si>
    <t>Protocol Number</t>
  </si>
  <si>
    <t>XYZ-101-ONC-2026</t>
  </si>
  <si>
    <t>Version/Date</t>
  </si>
  <si>
    <t>Version 1.0 / 01-Jun-2026</t>
  </si>
  <si>
    <t>Study Phase</t>
  </si>
  <si>
    <t>Phase II</t>
  </si>
  <si>
    <t>Design</t>
  </si>
  <si>
    <t>Open-label, multicenter, mock oncology study</t>
  </si>
  <si>
    <t>Population</t>
  </si>
  <si>
    <t>Adults with advanced solid tumors</t>
  </si>
  <si>
    <t>Sample Size</t>
  </si>
  <si>
    <t>5 subjects in this workbook; expandable to 20 for full portfolio</t>
  </si>
  <si>
    <t>Primary Objective</t>
  </si>
  <si>
    <t>Evaluate preliminary anti-tumor response</t>
  </si>
  <si>
    <t>Secondary Objective</t>
  </si>
  <si>
    <t>Evaluate safety and tolerability</t>
  </si>
  <si>
    <t>Assessment</t>
  </si>
  <si>
    <t>Screening</t>
  </si>
  <si>
    <t>C1D1</t>
  </si>
  <si>
    <t>C2D1</t>
  </si>
  <si>
    <t>End of Treatment</t>
  </si>
  <si>
    <t>CDC Data Review Focus</t>
  </si>
  <si>
    <t>Informed Consent</t>
  </si>
  <si>
    <t>X</t>
  </si>
  <si>
    <t>Must occur before all study procedures</t>
  </si>
  <si>
    <t>Eligibility Review</t>
  </si>
  <si>
    <t>Age ≥18; ECOG 0–1; consent present</t>
  </si>
  <si>
    <t>Demographics</t>
  </si>
  <si>
    <t>Baseline completeness</t>
  </si>
  <si>
    <t>Vital Signs</t>
  </si>
  <si>
    <t>Missing/outlier values</t>
  </si>
  <si>
    <t>Laboratory Tests</t>
  </si>
  <si>
    <t>Date consistency, outliers, clinically significant flag</t>
  </si>
  <si>
    <t>Adverse Event Review</t>
  </si>
  <si>
    <t>SAE consistency, grade, outcome, dates</t>
  </si>
  <si>
    <t>Tumor Assessment</t>
  </si>
  <si>
    <t>Required response and radiology report</t>
  </si>
  <si>
    <t>Concomitant Medications</t>
  </si>
  <si>
    <t>Start/stop date logic</t>
  </si>
  <si>
    <t>Subject Enrollment &amp; Visit Tracking</t>
  </si>
  <si>
    <t>Subject ID</t>
  </si>
  <si>
    <t>Site</t>
  </si>
  <si>
    <t>Consent Date</t>
  </si>
  <si>
    <t>Screening Date</t>
  </si>
  <si>
    <t>C1D1 Date</t>
  </si>
  <si>
    <t>C2D1 Date</t>
  </si>
  <si>
    <t>EOT Date</t>
  </si>
  <si>
    <t>Expected Tumor at C2D1?</t>
  </si>
  <si>
    <t>Notes</t>
  </si>
  <si>
    <t>101-001</t>
  </si>
  <si>
    <t>101 Toronto Cancer Centre</t>
  </si>
  <si>
    <t>Yes</t>
  </si>
  <si>
    <t>Clean reference subject</t>
  </si>
  <si>
    <t>101-002</t>
  </si>
  <si>
    <t>Lab date discrepancy</t>
  </si>
  <si>
    <t>102-001</t>
  </si>
  <si>
    <t>102 Hamilton Oncology Clinic</t>
  </si>
  <si>
    <t>Lab outlier discrepancy</t>
  </si>
  <si>
    <t>103-001</t>
  </si>
  <si>
    <t>103 Vancouver Research Hospital</t>
  </si>
  <si>
    <t>SAE inconsistency</t>
  </si>
  <si>
    <t>104-001</t>
  </si>
  <si>
    <t>104 Calgary Trial Site</t>
  </si>
  <si>
    <t>Missing tumor response</t>
  </si>
  <si>
    <t>Screening Form Data</t>
  </si>
  <si>
    <t>Site Number</t>
  </si>
  <si>
    <t>DOB</t>
  </si>
  <si>
    <t>Age</t>
  </si>
  <si>
    <t>Sex</t>
  </si>
  <si>
    <t>ECOG</t>
  </si>
  <si>
    <t>Eligible?</t>
  </si>
  <si>
    <t>Screening Review Flag</t>
  </si>
  <si>
    <t>Male</t>
  </si>
  <si>
    <t>No issue</t>
  </si>
  <si>
    <t>Female</t>
  </si>
  <si>
    <t>Demographics Form Data</t>
  </si>
  <si>
    <t>Race</t>
  </si>
  <si>
    <t>Ethnicity</t>
  </si>
  <si>
    <t>Height cm</t>
  </si>
  <si>
    <t>Weight kg</t>
  </si>
  <si>
    <t>BMI</t>
  </si>
  <si>
    <t>BMI Formula Used</t>
  </si>
  <si>
    <t>Review Flag</t>
  </si>
  <si>
    <t>Asian</t>
  </si>
  <si>
    <t>Not Hispanic or Latino</t>
  </si>
  <si>
    <t>=weight/(height/100)^2</t>
  </si>
  <si>
    <t>White</t>
  </si>
  <si>
    <t>Black</t>
  </si>
  <si>
    <t>Hispanic or Latino</t>
  </si>
  <si>
    <t>Labs Form Data with Intentional Discrepancies</t>
  </si>
  <si>
    <t>Lab Date</t>
  </si>
  <si>
    <t>Hgb g/dL</t>
  </si>
  <si>
    <t>WBC 10^9/L</t>
  </si>
  <si>
    <t>Platelets 10^9/L</t>
  </si>
  <si>
    <t>ALT U/L</t>
  </si>
  <si>
    <t>AST U/L</t>
  </si>
  <si>
    <t>Creatinine mg/dL</t>
  </si>
  <si>
    <t>Clinically Significant?</t>
  </si>
  <si>
    <t>Lab Comments</t>
  </si>
  <si>
    <t>Intended Issue</t>
  </si>
  <si>
    <t>No</t>
  </si>
  <si>
    <t>Baseline labs within expected range</t>
  </si>
  <si>
    <t>Clean</t>
  </si>
  <si>
    <t>Lab collected before consent date</t>
  </si>
  <si>
    <t>Date inconsistency</t>
  </si>
  <si>
    <t>Implausible hemoglobin entered</t>
  </si>
  <si>
    <t>Lab outlier</t>
  </si>
  <si>
    <t>No lab issue</t>
  </si>
  <si>
    <t>Adverse Events Form Data with Intentional Discrepancy</t>
  </si>
  <si>
    <t>AE Term</t>
  </si>
  <si>
    <t>AE Start Date</t>
  </si>
  <si>
    <t>AE End Date</t>
  </si>
  <si>
    <t>Ongoing?</t>
  </si>
  <si>
    <t>AE Grade</t>
  </si>
  <si>
    <t>Serious AE?</t>
  </si>
  <si>
    <t>Hospitalization?</t>
  </si>
  <si>
    <t>Related to Drug?</t>
  </si>
  <si>
    <t>Action Taken</t>
  </si>
  <si>
    <t>Outcome</t>
  </si>
  <si>
    <t>Fatigue</t>
  </si>
  <si>
    <t>Possibly related</t>
  </si>
  <si>
    <t>None</t>
  </si>
  <si>
    <t>Recovering</t>
  </si>
  <si>
    <t>Nausea</t>
  </si>
  <si>
    <t>Recovered</t>
  </si>
  <si>
    <t>Headache</t>
  </si>
  <si>
    <t>Unlikely related</t>
  </si>
  <si>
    <t>Pneumonia</t>
  </si>
  <si>
    <t>Drug interrupted</t>
  </si>
  <si>
    <t>Not recovered</t>
  </si>
  <si>
    <t>SAE/hospitalization inconsistency</t>
  </si>
  <si>
    <t>Rash</t>
  </si>
  <si>
    <t>Probably related</t>
  </si>
  <si>
    <t>Tumor Assessment Form Data with Intentional Discrepancy</t>
  </si>
  <si>
    <t>Assessment Date</t>
  </si>
  <si>
    <t>Assessment Method</t>
  </si>
  <si>
    <t>Target Lesion Sum mm</t>
  </si>
  <si>
    <t>New Lesion Present?</t>
  </si>
  <si>
    <t>Tumor Response</t>
  </si>
  <si>
    <t>Radiology Report Available?</t>
  </si>
  <si>
    <t>Comments</t>
  </si>
  <si>
    <t>CT Scan</t>
  </si>
  <si>
    <t>SD</t>
  </si>
  <si>
    <t>C2D1 assessment completed</t>
  </si>
  <si>
    <t>PR</t>
  </si>
  <si>
    <t>Partial response recorded</t>
  </si>
  <si>
    <t>MRI</t>
  </si>
  <si>
    <t>Stable disease</t>
  </si>
  <si>
    <t>PD</t>
  </si>
  <si>
    <t>New lesion present</t>
  </si>
  <si>
    <t>Tumor response missing</t>
  </si>
  <si>
    <t>Clinical Data Query Tracker</t>
  </si>
  <si>
    <t>Query ID</t>
  </si>
  <si>
    <t>Form</t>
  </si>
  <si>
    <t>Field</t>
  </si>
  <si>
    <t>Issue Category</t>
  </si>
  <si>
    <t>Discrepancy Description</t>
  </si>
  <si>
    <t>Query Text</t>
  </si>
  <si>
    <t>Open Date</t>
  </si>
  <si>
    <t>Aging Days</t>
  </si>
  <si>
    <t>Query Status</t>
  </si>
  <si>
    <t>Site Response</t>
  </si>
  <si>
    <t>Resolution</t>
  </si>
  <si>
    <t>Closed Date</t>
  </si>
  <si>
    <t>Reviewer Initials</t>
  </si>
  <si>
    <t>Q001</t>
  </si>
  <si>
    <t>Labs</t>
  </si>
  <si>
    <t>Date Inconsistency</t>
  </si>
  <si>
    <t>Lab date occurs before informed consent date.</t>
  </si>
  <si>
    <t>Please review and confirm lab collection date, as it appears to occur before informed consent date.</t>
  </si>
  <si>
    <t>Closed</t>
  </si>
  <si>
    <t>Site confirmed lab date entered in error; corrected to 2026-05-12.</t>
  </si>
  <si>
    <t>Resolved after site correction.</t>
  </si>
  <si>
    <t>IB</t>
  </si>
  <si>
    <t>Q002</t>
  </si>
  <si>
    <t>Hemoglobin</t>
  </si>
  <si>
    <t>Lab Outlier</t>
  </si>
  <si>
    <t>Hemoglobin entered as 99.9 g/dL.</t>
  </si>
  <si>
    <t>Please review and confirm hemoglobin value and unit, as the entered value appears outside the expected clinical range.</t>
  </si>
  <si>
    <t>Site confirmed value should be 9.9 g/dL.</t>
  </si>
  <si>
    <t>Resolved after correction.</t>
  </si>
  <si>
    <t>Q003</t>
  </si>
  <si>
    <t>Adverse Events</t>
  </si>
  <si>
    <t>Hospitalization</t>
  </si>
  <si>
    <t>AE/SAE Inconsistency</t>
  </si>
  <si>
    <t>SAE marked Yes but hospitalization marked No.</t>
  </si>
  <si>
    <t>Please confirm hospitalization status, as Serious AE is marked Yes but hospitalization is marked No.</t>
  </si>
  <si>
    <t>Open</t>
  </si>
  <si>
    <t>Awaiting site clarification.</t>
  </si>
  <si>
    <t>Pending site response.</t>
  </si>
  <si>
    <t>Q004</t>
  </si>
  <si>
    <t>Missing Data</t>
  </si>
  <si>
    <t>Tumor assessment completed but tumor response is blank.</t>
  </si>
  <si>
    <t>Please provide or confirm tumor response assessment for this visit.</t>
  </si>
  <si>
    <t>Pending CRA/DM Review</t>
  </si>
  <si>
    <t>Site responded that radiology report is pending central review.</t>
  </si>
  <si>
    <t>Pending CRA/DM review before closure.</t>
  </si>
  <si>
    <t>Data Review Metrics &amp; Study Results</t>
  </si>
  <si>
    <t>Metric</t>
  </si>
  <si>
    <t>Value</t>
  </si>
  <si>
    <t>Formula/Source</t>
  </si>
  <si>
    <t>Count</t>
  </si>
  <si>
    <t>Subjects reviewed</t>
  </si>
  <si>
    <t>Subjects &amp; Visits</t>
  </si>
  <si>
    <t>Resolved by site</t>
  </si>
  <si>
    <t>Total queries opened</t>
  </si>
  <si>
    <t>COUNT Query IDs</t>
  </si>
  <si>
    <t>Awaiting site</t>
  </si>
  <si>
    <t>Queries closed</t>
  </si>
  <si>
    <t>COUNTIF Status = Closed</t>
  </si>
  <si>
    <t>Needs review</t>
  </si>
  <si>
    <t>Queries open/pending</t>
  </si>
  <si>
    <t>Total - Closed</t>
  </si>
  <si>
    <t>Query closure rate</t>
  </si>
  <si>
    <t>Closed / Total</t>
  </si>
  <si>
    <t>Subjects with objective response</t>
  </si>
  <si>
    <t>CR or PR in Tumor Assessment</t>
  </si>
  <si>
    <t>Disease control count</t>
  </si>
  <si>
    <t>CR, PR, or SD</t>
  </si>
  <si>
    <t>SAE count</t>
  </si>
  <si>
    <t>Serious AE = Yes</t>
  </si>
  <si>
    <t>Critical open issues</t>
  </si>
  <si>
    <t>Open SAE inconsistency + pending tumor response</t>
  </si>
  <si>
    <t>Narrative Data Review Findings</t>
  </si>
  <si>
    <t>Finding Area</t>
  </si>
  <si>
    <t>Summary</t>
  </si>
  <si>
    <t>Data Completeness</t>
  </si>
  <si>
    <t>5 subjects were entered into the mock REDCap dataset. Screening and demographics were complete for all subjects.</t>
  </si>
  <si>
    <t>Laboratory Review</t>
  </si>
  <si>
    <t>Two lab-related discrepancies were identified: one lab date before consent and one implausible hemoglobin value.</t>
  </si>
  <si>
    <t>Safety Review</t>
  </si>
  <si>
    <t>One SAE inconsistency remained open: SAE marked Yes while hospitalization was marked No.</t>
  </si>
  <si>
    <t>Tumor Review</t>
  </si>
  <si>
    <t>One missing tumor response remained pending central/CRA review.</t>
  </si>
  <si>
    <t>Efficacy Signal</t>
  </si>
  <si>
    <t>Among available tumor responses, 1 subject had PR, 2 had SD, and 1 had PD; 1 response was missing/pending.</t>
  </si>
  <si>
    <t>Conclusion</t>
  </si>
  <si>
    <t>The dataset is not ready for database lock until the SAE hospitalization query and missing tumor response query are resolved.</t>
  </si>
  <si>
    <t>Portfolio Case Study Summary</t>
  </si>
  <si>
    <t>Project</t>
  </si>
  <si>
    <t>Role Simulated</t>
  </si>
  <si>
    <t>Entry-level Clinical Data Coordinator / Clinical Data Management Associate</t>
  </si>
  <si>
    <t>Tools</t>
  </si>
  <si>
    <t>REDCap, Excel</t>
  </si>
  <si>
    <t>Workflow Demonstrated</t>
  </si>
  <si>
    <t>Protocol review → eCRF design → subject data entry → discrepancy review → query tracking → data review report</t>
  </si>
  <si>
    <t>Records Reviewed</t>
  </si>
  <si>
    <t>5 mock subjects</t>
  </si>
  <si>
    <t>Queries Generated</t>
  </si>
  <si>
    <t>4 total: 2 closed, 2 open/pending</t>
  </si>
  <si>
    <t>Key Skills Demonstrated</t>
  </si>
  <si>
    <t>EDC review, query writing, GCP-style documentation, lab data review, AE/SAE consistency, tumor assessment completeness</t>
  </si>
  <si>
    <t>Final Conclusion</t>
  </si>
  <si>
    <t>Study data require follow-up on two critical items before database lock: SAE hospitalization clarification and missing tumor response.</t>
  </si>
  <si>
    <t>Built an oncology clinical data management simulation using REDCap and Excel, including protocol-based eCRF design, mock subject data entry, discrepancy identification, professional query writing, query tracking, and data review metrics for database lock readiness.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</si>
</sst>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"/>
    <numFmt numFmtId="165" formatCode="0.0"/>
  </numFmts>
  <fonts count="4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0" xfId="0" applyNumberFormat="1" applyFont="1" applyFill="1" applyBorder="1" applyAlignment="1">
      <alignment wrapText="1"/>
    </xf>
    <xf numFmtId="0" fontId="3" fillId="5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2" fillId="4" borderId="0" xfId="0" applyNumberFormat="1" applyFont="1" applyFill="1" applyBorder="1" applyAlignment="1">
      <alignment wrapText="1"/>
    </xf>
    <xf numFmtId="164" fontId="0" fillId="0" borderId="0" xfId="0" applyNumberFormat="1" applyFont="1" applyFill="1" applyBorder="1" applyAlignment="1">
      <alignment wrapText="1"/>
    </xf>
    <xf numFmtId="165" fontId="0" fillId="0" borderId="0" xfId="0" applyNumberFormat="1" applyFont="1" applyFill="1" applyBorder="1" applyAlignment="1">
      <alignment wrapText="1"/>
    </xf>
    <xf numFmtId="9" fontId="0" fillId="0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2" fillId="4" borderId="0" xfId="0" applyNumberFormat="1" applyFont="1" applyFill="1" applyBorder="1" applyAlignment="1">
      <alignment wrapText="1"/>
    </xf>
  </cellXfs>
  <cellStyles count="1">
    <cellStyle name="Normal" xfId="0" builtinId="0"/>
  </cellStyles>
  <dxfs count="3">
    <dxf>
      <fill>
        <patternFill patternType="solid">
          <bgColor rgb="FFE2F0D9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invertIfNegative val="1"/>
          <c:cat>
            <c:strRef>
              <c:f>'Data Review Report'!$E$4:$E$6</c:f>
              <c:strCache>
                <c:ptCount val="3"/>
                <c:pt idx="0">
                  <c:v>Closed</c:v>
                </c:pt>
                <c:pt idx="1">
                  <c:v>Open</c:v>
                </c:pt>
                <c:pt idx="2">
                  <c:v>Pending CRA/DM Review</c:v>
                </c:pt>
              </c:strCache>
            </c:strRef>
          </c:cat>
          <c:val>
            <c:numRef>
              <c:f>'Data Review Report'!$F$4:$F$6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40-403F-B54A-41E9A00B25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7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ubjectsTable" displayName="SubjectsTable" ref="A3:I8">
  <tableColumns count="9">
    <tableColumn id="1" name="Subject ID"/>
    <tableColumn id="2" name="Site"/>
    <tableColumn id="3" name="Consent Date"/>
    <tableColumn id="4" name="Screening Date"/>
    <tableColumn id="5" name="C1D1 Date"/>
    <tableColumn id="6" name="C2D1 Date"/>
    <tableColumn id="7" name="EOT Date"/>
    <tableColumn id="8" name="Expected Tumor at C2D1?"/>
    <tableColumn id="9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creeningTable" displayName="ScreeningTable" ref="A3:J8">
  <tableColumns count="10">
    <tableColumn id="1" name="Subject ID"/>
    <tableColumn id="2" name="Site Number"/>
    <tableColumn id="3" name="Consent Date"/>
    <tableColumn id="4" name="DOB"/>
    <tableColumn id="5" name="Age"/>
    <tableColumn id="6" name="Sex"/>
    <tableColumn id="7" name="Screening Date"/>
    <tableColumn id="8" name="ECOG"/>
    <tableColumn id="9" name="Eligible?"/>
    <tableColumn id="10" name="Screening Review Fla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emographicsTable" displayName="DemographicsTable" ref="A3:H8">
  <tableColumns count="8">
    <tableColumn id="1" name="Subject ID"/>
    <tableColumn id="2" name="Race"/>
    <tableColumn id="3" name="Ethnicity"/>
    <tableColumn id="4" name="Height cm"/>
    <tableColumn id="5" name="Weight kg"/>
    <tableColumn id="6" name="BMI"/>
    <tableColumn id="7" name="BMI Formula Used"/>
    <tableColumn id="8" name="Review Fla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LabsTable" displayName="LabsTable" ref="A3:K8">
  <tableColumns count="11">
    <tableColumn id="1" name="Subject ID"/>
    <tableColumn id="2" name="Lab Date"/>
    <tableColumn id="3" name="Hgb g/dL"/>
    <tableColumn id="4" name="WBC 10^9/L"/>
    <tableColumn id="5" name="Platelets 10^9/L"/>
    <tableColumn id="6" name="ALT U/L"/>
    <tableColumn id="7" name="AST U/L"/>
    <tableColumn id="8" name="Creatinine mg/dL"/>
    <tableColumn id="9" name="Clinically Significant?"/>
    <tableColumn id="10" name="Lab Comments"/>
    <tableColumn id="11" name="Intended Iss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ETable" displayName="AETable" ref="A3:L8">
  <tableColumns count="12">
    <tableColumn id="1" name="Subject ID"/>
    <tableColumn id="2" name="AE Term"/>
    <tableColumn id="3" name="AE Start Date"/>
    <tableColumn id="4" name="AE End Date"/>
    <tableColumn id="5" name="Ongoing?"/>
    <tableColumn id="6" name="AE Grade"/>
    <tableColumn id="7" name="Serious AE?"/>
    <tableColumn id="8" name="Hospitalization?"/>
    <tableColumn id="9" name="Related to Drug?"/>
    <tableColumn id="10" name="Action Taken"/>
    <tableColumn id="11" name="Outcome"/>
    <tableColumn id="12" name="Intended Issu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umorTable" displayName="TumorTable" ref="A3:I8">
  <tableColumns count="9">
    <tableColumn id="1" name="Subject ID"/>
    <tableColumn id="2" name="Assessment Date"/>
    <tableColumn id="3" name="Assessment Method"/>
    <tableColumn id="4" name="Target Lesion Sum mm"/>
    <tableColumn id="5" name="New Lesion Present?"/>
    <tableColumn id="6" name="Tumor Response"/>
    <tableColumn id="7" name="Radiology Report Available?"/>
    <tableColumn id="8" name="Comments"/>
    <tableColumn id="9" name="Intended Iss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QueryTrackerTable" displayName="QueryTrackerTable" ref="A3:O7">
  <tableColumns count="15">
    <tableColumn id="1" name="Query ID"/>
    <tableColumn id="2" name="Subject ID"/>
    <tableColumn id="3" name="Site"/>
    <tableColumn id="4" name="Form"/>
    <tableColumn id="5" name="Field"/>
    <tableColumn id="6" name="Issue Category"/>
    <tableColumn id="7" name="Discrepancy Description"/>
    <tableColumn id="8" name="Query Text"/>
    <tableColumn id="9" name="Open Date"/>
    <tableColumn id="10" name="Aging Days"/>
    <tableColumn id="11" name="Query Status"/>
    <tableColumn id="12" name="Site Response"/>
    <tableColumn id="13" name="Resolution"/>
    <tableColumn id="14" name="Closed Date"/>
    <tableColumn id="15" name="Reviewer Initia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0"/>
  <sheetViews>
    <sheetView workbookViewId="0"/>
  </sheetViews>
  <sheetFormatPr defaultRowHeight="13.8"/>
  <cols>
    <col min="1" max="1" width="50.59765625" customWidth="1"/>
    <col min="2" max="2" width="112.19921875" customWidth="1"/>
  </cols>
  <sheetData>
    <row r="1" spans="1:15">
      <c r="A1" s="8" t="s">
        <v>0</v>
      </c>
      <c r="B1" s="9"/>
      <c r="C1" s="9"/>
      <c r="D1" s="9"/>
      <c r="E1" s="9"/>
      <c r="F1" s="9"/>
      <c r="G1" s="9"/>
      <c r="H1" s="9"/>
      <c r="I1" s="3"/>
      <c r="J1" s="3"/>
      <c r="K1" s="3"/>
      <c r="L1" s="3"/>
      <c r="M1" s="3"/>
      <c r="N1" s="3"/>
      <c r="O1" s="3"/>
    </row>
    <row r="2" spans="1:1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>
      <c r="A3" s="1" t="s">
        <v>1</v>
      </c>
      <c r="B3" s="3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>
      <c r="A4" s="1" t="s">
        <v>3</v>
      </c>
      <c r="B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>
      <c r="A5" s="1" t="s">
        <v>5</v>
      </c>
      <c r="B5" s="3" t="s">
        <v>6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>
      <c r="A6" s="1" t="s">
        <v>7</v>
      </c>
      <c r="B6" s="3" t="s">
        <v>8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ht="27.6">
      <c r="A7" s="1" t="s">
        <v>9</v>
      </c>
      <c r="B7" s="3" t="s">
        <v>10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>
      <c r="A8" s="1" t="s">
        <v>11</v>
      </c>
      <c r="B8" s="3" t="s">
        <v>12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>
      <c r="A10" s="4" t="s">
        <v>13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>
      <c r="A11" s="3" t="s">
        <v>14</v>
      </c>
      <c r="B11" s="3" t="s">
        <v>15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>
      <c r="A12" s="3" t="s">
        <v>16</v>
      </c>
      <c r="B12" s="3" t="s">
        <v>17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>
      <c r="A13" s="3" t="s">
        <v>18</v>
      </c>
      <c r="B13" s="3" t="s">
        <v>19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>
      <c r="A14" s="3" t="s">
        <v>20</v>
      </c>
      <c r="B14" s="3" t="s">
        <v>21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>
      <c r="A15" s="3" t="s">
        <v>22</v>
      </c>
      <c r="B15" s="3" t="s">
        <v>23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>
      <c r="A16" s="3" t="s">
        <v>24</v>
      </c>
      <c r="B16" s="3" t="s">
        <v>25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1:1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1:1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spans="1:1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1:1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1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spans="1:1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spans="1:1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spans="1:1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0"/>
  <sheetViews>
    <sheetView workbookViewId="0"/>
  </sheetViews>
  <sheetFormatPr defaultRowHeight="13.8"/>
  <cols>
    <col min="1" max="1" width="43.69921875" customWidth="1"/>
    <col min="2" max="2" width="77.69921875" customWidth="1"/>
    <col min="3" max="4" width="4.5" customWidth="1"/>
    <col min="5" max="5" width="13.69921875" customWidth="1"/>
    <col min="6" max="6" width="37.69921875" customWidth="1"/>
  </cols>
  <sheetData>
    <row r="1" spans="1:15">
      <c r="A1" s="8" t="s">
        <v>26</v>
      </c>
      <c r="B1" s="9"/>
      <c r="C1" s="9"/>
      <c r="D1" s="9"/>
      <c r="E1" s="9"/>
      <c r="F1" s="9"/>
      <c r="G1" s="9"/>
      <c r="H1" s="9"/>
      <c r="I1" s="3"/>
      <c r="J1" s="3"/>
      <c r="K1" s="3"/>
      <c r="L1" s="3"/>
      <c r="M1" s="3"/>
      <c r="N1" s="3"/>
      <c r="O1" s="3"/>
    </row>
    <row r="2" spans="1:1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27.6">
      <c r="A3" s="1" t="s">
        <v>27</v>
      </c>
      <c r="B3" s="3" t="s">
        <v>28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>
      <c r="A4" s="1" t="s">
        <v>29</v>
      </c>
      <c r="B4" s="3" t="s">
        <v>30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>
      <c r="A5" s="1" t="s">
        <v>31</v>
      </c>
      <c r="B5" s="3" t="s">
        <v>32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>
      <c r="A6" s="1" t="s">
        <v>33</v>
      </c>
      <c r="B6" s="3" t="s">
        <v>34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>
      <c r="A7" s="1" t="s">
        <v>35</v>
      </c>
      <c r="B7" s="3" t="s">
        <v>36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>
      <c r="A8" s="1" t="s">
        <v>37</v>
      </c>
      <c r="B8" s="3" t="s">
        <v>38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>
      <c r="A9" s="1" t="s">
        <v>39</v>
      </c>
      <c r="B9" s="3" t="s">
        <v>40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>
      <c r="A10" s="1" t="s">
        <v>41</v>
      </c>
      <c r="B10" s="3" t="s">
        <v>42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>
      <c r="A11" s="1" t="s">
        <v>43</v>
      </c>
      <c r="B11" s="3" t="s">
        <v>44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 ht="27.6">
      <c r="A14" s="2" t="s">
        <v>45</v>
      </c>
      <c r="B14" s="2" t="s">
        <v>46</v>
      </c>
      <c r="C14" s="2" t="s">
        <v>47</v>
      </c>
      <c r="D14" s="2" t="s">
        <v>48</v>
      </c>
      <c r="E14" s="2" t="s">
        <v>49</v>
      </c>
      <c r="F14" s="2" t="s">
        <v>50</v>
      </c>
      <c r="G14" s="3"/>
      <c r="H14" s="3"/>
      <c r="I14" s="3"/>
      <c r="J14" s="3"/>
      <c r="K14" s="3"/>
      <c r="L14" s="3"/>
      <c r="M14" s="3"/>
      <c r="N14" s="3"/>
      <c r="O14" s="3"/>
    </row>
    <row r="15" spans="1:15">
      <c r="A15" s="3" t="s">
        <v>51</v>
      </c>
      <c r="B15" s="3" t="s">
        <v>52</v>
      </c>
      <c r="C15" s="3"/>
      <c r="D15" s="3"/>
      <c r="E15" s="3"/>
      <c r="F15" s="3" t="s">
        <v>53</v>
      </c>
      <c r="G15" s="3"/>
      <c r="H15" s="3"/>
      <c r="I15" s="3"/>
      <c r="J15" s="3"/>
      <c r="K15" s="3"/>
      <c r="L15" s="3"/>
      <c r="M15" s="3"/>
      <c r="N15" s="3"/>
      <c r="O15" s="3"/>
    </row>
    <row r="16" spans="1:15">
      <c r="A16" s="3" t="s">
        <v>54</v>
      </c>
      <c r="B16" s="3" t="s">
        <v>52</v>
      </c>
      <c r="C16" s="3"/>
      <c r="D16" s="3"/>
      <c r="E16" s="3"/>
      <c r="F16" s="3" t="s">
        <v>55</v>
      </c>
      <c r="G16" s="3"/>
      <c r="H16" s="3"/>
      <c r="I16" s="3"/>
      <c r="J16" s="3"/>
      <c r="K16" s="3"/>
      <c r="L16" s="3"/>
      <c r="M16" s="3"/>
      <c r="N16" s="3"/>
      <c r="O16" s="3"/>
    </row>
    <row r="17" spans="1:15">
      <c r="A17" s="3" t="s">
        <v>56</v>
      </c>
      <c r="B17" s="3" t="s">
        <v>52</v>
      </c>
      <c r="C17" s="3"/>
      <c r="D17" s="3"/>
      <c r="E17" s="3"/>
      <c r="F17" s="3" t="s">
        <v>57</v>
      </c>
      <c r="G17" s="3"/>
      <c r="H17" s="3"/>
      <c r="I17" s="3"/>
      <c r="J17" s="3"/>
      <c r="K17" s="3"/>
      <c r="L17" s="3"/>
      <c r="M17" s="3"/>
      <c r="N17" s="3"/>
      <c r="O17" s="3"/>
    </row>
    <row r="18" spans="1:15">
      <c r="A18" s="3" t="s">
        <v>58</v>
      </c>
      <c r="B18" s="3" t="s">
        <v>52</v>
      </c>
      <c r="C18" s="3" t="s">
        <v>52</v>
      </c>
      <c r="D18" s="3" t="s">
        <v>52</v>
      </c>
      <c r="E18" s="3" t="s">
        <v>52</v>
      </c>
      <c r="F18" s="3" t="s">
        <v>59</v>
      </c>
      <c r="G18" s="3"/>
      <c r="H18" s="3"/>
      <c r="I18" s="3"/>
      <c r="J18" s="3"/>
      <c r="K18" s="3"/>
      <c r="L18" s="3"/>
      <c r="M18" s="3"/>
      <c r="N18" s="3"/>
      <c r="O18" s="3"/>
    </row>
    <row r="19" spans="1:15" ht="27.6">
      <c r="A19" s="3" t="s">
        <v>60</v>
      </c>
      <c r="B19" s="3" t="s">
        <v>52</v>
      </c>
      <c r="C19" s="3" t="s">
        <v>52</v>
      </c>
      <c r="D19" s="3" t="s">
        <v>52</v>
      </c>
      <c r="E19" s="3" t="s">
        <v>52</v>
      </c>
      <c r="F19" s="3" t="s">
        <v>61</v>
      </c>
      <c r="G19" s="3"/>
      <c r="H19" s="3"/>
      <c r="I19" s="3"/>
      <c r="J19" s="3"/>
      <c r="K19" s="3"/>
      <c r="L19" s="3"/>
      <c r="M19" s="3"/>
      <c r="N19" s="3"/>
      <c r="O19" s="3"/>
    </row>
    <row r="20" spans="1:15">
      <c r="A20" s="3" t="s">
        <v>62</v>
      </c>
      <c r="B20" s="3"/>
      <c r="C20" s="3" t="s">
        <v>52</v>
      </c>
      <c r="D20" s="3" t="s">
        <v>52</v>
      </c>
      <c r="E20" s="3" t="s">
        <v>52</v>
      </c>
      <c r="F20" s="3" t="s">
        <v>63</v>
      </c>
      <c r="G20" s="3"/>
      <c r="H20" s="3"/>
      <c r="I20" s="3"/>
      <c r="J20" s="3"/>
      <c r="K20" s="3"/>
      <c r="L20" s="3"/>
      <c r="M20" s="3"/>
      <c r="N20" s="3"/>
      <c r="O20" s="3"/>
    </row>
    <row r="21" spans="1:15">
      <c r="A21" s="3" t="s">
        <v>64</v>
      </c>
      <c r="B21" s="3"/>
      <c r="C21" s="3"/>
      <c r="D21" s="3" t="s">
        <v>52</v>
      </c>
      <c r="E21" s="3" t="s">
        <v>52</v>
      </c>
      <c r="F21" s="3" t="s">
        <v>65</v>
      </c>
      <c r="G21" s="3"/>
      <c r="H21" s="3"/>
      <c r="I21" s="3"/>
      <c r="J21" s="3"/>
      <c r="K21" s="3"/>
      <c r="L21" s="3"/>
      <c r="M21" s="3"/>
      <c r="N21" s="3"/>
      <c r="O21" s="3"/>
    </row>
    <row r="22" spans="1:15">
      <c r="A22" s="3" t="s">
        <v>66</v>
      </c>
      <c r="B22" s="3" t="s">
        <v>52</v>
      </c>
      <c r="C22" s="3" t="s">
        <v>52</v>
      </c>
      <c r="D22" s="3" t="s">
        <v>52</v>
      </c>
      <c r="E22" s="3" t="s">
        <v>52</v>
      </c>
      <c r="F22" s="3" t="s">
        <v>67</v>
      </c>
      <c r="G22" s="3"/>
      <c r="H22" s="3"/>
      <c r="I22" s="3"/>
      <c r="J22" s="3"/>
      <c r="K22" s="3"/>
      <c r="L22" s="3"/>
      <c r="M22" s="3"/>
      <c r="N22" s="3"/>
      <c r="O22" s="3"/>
    </row>
    <row r="23" spans="1:1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1:1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1:1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spans="1:1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1:1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1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spans="1:1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spans="1:1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spans="1:1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0"/>
  <sheetViews>
    <sheetView workbookViewId="0"/>
  </sheetViews>
  <sheetFormatPr defaultRowHeight="13.8"/>
  <cols>
    <col min="1" max="1" width="34.3984375" customWidth="1"/>
    <col min="2" max="2" width="25.19921875" customWidth="1"/>
    <col min="3" max="3" width="10.69921875" customWidth="1"/>
    <col min="4" max="4" width="12" customWidth="1"/>
    <col min="5" max="7" width="9.09765625" customWidth="1"/>
    <col min="8" max="8" width="20" customWidth="1"/>
    <col min="9" max="9" width="18.5" customWidth="1"/>
  </cols>
  <sheetData>
    <row r="1" spans="1:15">
      <c r="A1" s="8" t="s">
        <v>68</v>
      </c>
      <c r="B1" s="9"/>
      <c r="C1" s="9"/>
      <c r="D1" s="9"/>
      <c r="E1" s="9"/>
      <c r="F1" s="9"/>
      <c r="G1" s="9"/>
      <c r="H1" s="9"/>
      <c r="I1" s="9"/>
      <c r="J1" s="3"/>
      <c r="K1" s="3"/>
      <c r="L1" s="3"/>
      <c r="M1" s="3"/>
      <c r="N1" s="3"/>
      <c r="O1" s="3"/>
    </row>
    <row r="2" spans="1:1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27.6">
      <c r="A3" s="2" t="s">
        <v>69</v>
      </c>
      <c r="B3" s="2" t="s">
        <v>70</v>
      </c>
      <c r="C3" s="2" t="s">
        <v>71</v>
      </c>
      <c r="D3" s="2" t="s">
        <v>72</v>
      </c>
      <c r="E3" s="2" t="s">
        <v>73</v>
      </c>
      <c r="F3" s="2" t="s">
        <v>74</v>
      </c>
      <c r="G3" s="2" t="s">
        <v>75</v>
      </c>
      <c r="H3" s="2" t="s">
        <v>76</v>
      </c>
      <c r="I3" s="2" t="s">
        <v>77</v>
      </c>
      <c r="J3" s="3"/>
      <c r="K3" s="3"/>
      <c r="L3" s="3"/>
      <c r="M3" s="3"/>
      <c r="N3" s="3"/>
      <c r="O3" s="3"/>
    </row>
    <row r="4" spans="1:15" ht="27.6">
      <c r="A4" s="3" t="s">
        <v>78</v>
      </c>
      <c r="B4" s="3" t="s">
        <v>79</v>
      </c>
      <c r="C4" s="5">
        <v>46143</v>
      </c>
      <c r="D4" s="5">
        <v>46144</v>
      </c>
      <c r="E4" s="5">
        <v>46147</v>
      </c>
      <c r="F4" s="5">
        <v>46175</v>
      </c>
      <c r="G4" s="5">
        <v>46204</v>
      </c>
      <c r="H4" s="3" t="s">
        <v>80</v>
      </c>
      <c r="I4" s="3" t="s">
        <v>81</v>
      </c>
      <c r="J4" s="3"/>
      <c r="K4" s="3"/>
      <c r="L4" s="3"/>
      <c r="M4" s="3"/>
      <c r="N4" s="3"/>
      <c r="O4" s="3"/>
    </row>
    <row r="5" spans="1:15">
      <c r="A5" s="3" t="s">
        <v>82</v>
      </c>
      <c r="B5" s="3" t="s">
        <v>79</v>
      </c>
      <c r="C5" s="5">
        <v>46152</v>
      </c>
      <c r="D5" s="5">
        <v>46153</v>
      </c>
      <c r="E5" s="5">
        <v>46157</v>
      </c>
      <c r="F5" s="5">
        <v>46185</v>
      </c>
      <c r="G5" s="5">
        <v>46213</v>
      </c>
      <c r="H5" s="3" t="s">
        <v>80</v>
      </c>
      <c r="I5" s="3" t="s">
        <v>83</v>
      </c>
      <c r="J5" s="3"/>
      <c r="K5" s="3"/>
      <c r="L5" s="3"/>
      <c r="M5" s="3"/>
      <c r="N5" s="3"/>
      <c r="O5" s="3"/>
    </row>
    <row r="6" spans="1:15" ht="27.6">
      <c r="A6" s="3" t="s">
        <v>84</v>
      </c>
      <c r="B6" s="3" t="s">
        <v>85</v>
      </c>
      <c r="C6" s="5">
        <v>46145</v>
      </c>
      <c r="D6" s="5">
        <v>46146</v>
      </c>
      <c r="E6" s="5">
        <v>46149</v>
      </c>
      <c r="F6" s="5">
        <v>46177</v>
      </c>
      <c r="G6" s="5">
        <v>46206</v>
      </c>
      <c r="H6" s="3" t="s">
        <v>80</v>
      </c>
      <c r="I6" s="3" t="s">
        <v>86</v>
      </c>
      <c r="J6" s="3"/>
      <c r="K6" s="3"/>
      <c r="L6" s="3"/>
      <c r="M6" s="3"/>
      <c r="N6" s="3"/>
      <c r="O6" s="3"/>
    </row>
    <row r="7" spans="1:15" ht="27.6">
      <c r="A7" s="3" t="s">
        <v>87</v>
      </c>
      <c r="B7" s="3" t="s">
        <v>88</v>
      </c>
      <c r="C7" s="5">
        <v>46148</v>
      </c>
      <c r="D7" s="5">
        <v>46149</v>
      </c>
      <c r="E7" s="5">
        <v>46152</v>
      </c>
      <c r="F7" s="5">
        <v>46180</v>
      </c>
      <c r="G7" s="5">
        <v>46209</v>
      </c>
      <c r="H7" s="3" t="s">
        <v>80</v>
      </c>
      <c r="I7" s="3" t="s">
        <v>89</v>
      </c>
      <c r="J7" s="3"/>
      <c r="K7" s="3"/>
      <c r="L7" s="3"/>
      <c r="M7" s="3"/>
      <c r="N7" s="3"/>
      <c r="O7" s="3"/>
    </row>
    <row r="8" spans="1:15" ht="27.6">
      <c r="A8" s="3" t="s">
        <v>90</v>
      </c>
      <c r="B8" s="3" t="s">
        <v>91</v>
      </c>
      <c r="C8" s="5">
        <v>46150</v>
      </c>
      <c r="D8" s="5">
        <v>46151</v>
      </c>
      <c r="E8" s="5">
        <v>46154</v>
      </c>
      <c r="F8" s="5">
        <v>46183</v>
      </c>
      <c r="G8" s="5">
        <v>46211</v>
      </c>
      <c r="H8" s="3" t="s">
        <v>80</v>
      </c>
      <c r="I8" s="3" t="s">
        <v>92</v>
      </c>
      <c r="J8" s="3"/>
      <c r="K8" s="3"/>
      <c r="L8" s="3"/>
      <c r="M8" s="3"/>
      <c r="N8" s="3"/>
      <c r="O8" s="3"/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1:1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1:1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spans="1:1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1:1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1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spans="1:1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spans="1:1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spans="1:1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</sheetData>
  <mergeCells count="1">
    <mergeCell ref="A1:I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0"/>
  <sheetViews>
    <sheetView workbookViewId="0"/>
  </sheetViews>
  <sheetFormatPr defaultRowHeight="13.8"/>
  <cols>
    <col min="1" max="1" width="20.59765625" customWidth="1"/>
    <col min="2" max="2" width="10.09765625" customWidth="1"/>
    <col min="3" max="3" width="10.69921875" customWidth="1"/>
    <col min="4" max="4" width="9.09765625" customWidth="1"/>
    <col min="5" max="5" width="3.5" customWidth="1"/>
    <col min="6" max="6" width="6" customWidth="1"/>
    <col min="7" max="7" width="12" customWidth="1"/>
    <col min="8" max="8" width="4.69921875" customWidth="1"/>
    <col min="9" max="9" width="6.8984375" customWidth="1"/>
    <col min="10" max="10" width="17.3984375" customWidth="1"/>
  </cols>
  <sheetData>
    <row r="1" spans="1:15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3"/>
      <c r="L1" s="3"/>
      <c r="M1" s="3"/>
      <c r="N1" s="3"/>
      <c r="O1" s="3"/>
    </row>
    <row r="2" spans="1:1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27.6">
      <c r="A3" s="2" t="s">
        <v>69</v>
      </c>
      <c r="B3" s="2" t="s">
        <v>94</v>
      </c>
      <c r="C3" s="2" t="s">
        <v>71</v>
      </c>
      <c r="D3" s="2" t="s">
        <v>95</v>
      </c>
      <c r="E3" s="2" t="s">
        <v>96</v>
      </c>
      <c r="F3" s="2" t="s">
        <v>97</v>
      </c>
      <c r="G3" s="2" t="s">
        <v>72</v>
      </c>
      <c r="H3" s="2" t="s">
        <v>98</v>
      </c>
      <c r="I3" s="2" t="s">
        <v>99</v>
      </c>
      <c r="J3" s="2" t="s">
        <v>100</v>
      </c>
      <c r="K3" s="3"/>
      <c r="L3" s="3"/>
      <c r="M3" s="3"/>
      <c r="N3" s="3"/>
      <c r="O3" s="3"/>
    </row>
    <row r="4" spans="1:15">
      <c r="A4" s="3" t="s">
        <v>78</v>
      </c>
      <c r="B4" s="3">
        <v>101</v>
      </c>
      <c r="C4" s="5">
        <v>46143</v>
      </c>
      <c r="D4" s="5">
        <v>25609</v>
      </c>
      <c r="E4" s="3">
        <v>56</v>
      </c>
      <c r="F4" s="3" t="s">
        <v>101</v>
      </c>
      <c r="G4" s="5">
        <v>46144</v>
      </c>
      <c r="H4" s="3">
        <v>1</v>
      </c>
      <c r="I4" s="3" t="s">
        <v>80</v>
      </c>
      <c r="J4" s="3" t="s">
        <v>102</v>
      </c>
      <c r="K4" s="3"/>
      <c r="L4" s="3"/>
      <c r="M4" s="3"/>
      <c r="N4" s="3"/>
      <c r="O4" s="3"/>
    </row>
    <row r="5" spans="1:15" ht="27.6">
      <c r="A5" s="3" t="s">
        <v>82</v>
      </c>
      <c r="B5" s="3">
        <v>101</v>
      </c>
      <c r="C5" s="5">
        <v>46152</v>
      </c>
      <c r="D5" s="5">
        <v>23835</v>
      </c>
      <c r="E5" s="3">
        <v>61</v>
      </c>
      <c r="F5" s="3" t="s">
        <v>103</v>
      </c>
      <c r="G5" s="5">
        <v>46153</v>
      </c>
      <c r="H5" s="3">
        <v>1</v>
      </c>
      <c r="I5" s="3" t="s">
        <v>80</v>
      </c>
      <c r="J5" s="3" t="s">
        <v>102</v>
      </c>
      <c r="K5" s="3"/>
      <c r="L5" s="3"/>
      <c r="M5" s="3"/>
      <c r="N5" s="3"/>
      <c r="O5" s="3"/>
    </row>
    <row r="6" spans="1:15">
      <c r="A6" s="3" t="s">
        <v>84</v>
      </c>
      <c r="B6" s="3">
        <v>102</v>
      </c>
      <c r="C6" s="5">
        <v>46145</v>
      </c>
      <c r="D6" s="5">
        <v>29423</v>
      </c>
      <c r="E6" s="3">
        <v>45</v>
      </c>
      <c r="F6" s="3" t="s">
        <v>101</v>
      </c>
      <c r="G6" s="5">
        <v>46146</v>
      </c>
      <c r="H6" s="3">
        <v>0</v>
      </c>
      <c r="I6" s="3" t="s">
        <v>80</v>
      </c>
      <c r="J6" s="3" t="s">
        <v>102</v>
      </c>
      <c r="K6" s="3"/>
      <c r="L6" s="3"/>
      <c r="M6" s="3"/>
      <c r="N6" s="3"/>
      <c r="O6" s="3"/>
    </row>
    <row r="7" spans="1:15" ht="27.6">
      <c r="A7" s="3" t="s">
        <v>87</v>
      </c>
      <c r="B7" s="3">
        <v>103</v>
      </c>
      <c r="C7" s="5">
        <v>46148</v>
      </c>
      <c r="D7" s="5">
        <v>21460</v>
      </c>
      <c r="E7" s="3">
        <v>67</v>
      </c>
      <c r="F7" s="3" t="s">
        <v>103</v>
      </c>
      <c r="G7" s="5">
        <v>46149</v>
      </c>
      <c r="H7" s="3">
        <v>1</v>
      </c>
      <c r="I7" s="3" t="s">
        <v>80</v>
      </c>
      <c r="J7" s="3" t="s">
        <v>102</v>
      </c>
      <c r="K7" s="3"/>
      <c r="L7" s="3"/>
      <c r="M7" s="3"/>
      <c r="N7" s="3"/>
      <c r="O7" s="3"/>
    </row>
    <row r="8" spans="1:15" ht="27.6">
      <c r="A8" s="3" t="s">
        <v>90</v>
      </c>
      <c r="B8" s="3">
        <v>104</v>
      </c>
      <c r="C8" s="5">
        <v>46150</v>
      </c>
      <c r="D8" s="5">
        <v>27652</v>
      </c>
      <c r="E8" s="3">
        <v>50</v>
      </c>
      <c r="F8" s="3" t="s">
        <v>103</v>
      </c>
      <c r="G8" s="5">
        <v>46151</v>
      </c>
      <c r="H8" s="3">
        <v>1</v>
      </c>
      <c r="I8" s="3" t="s">
        <v>80</v>
      </c>
      <c r="J8" s="3" t="s">
        <v>102</v>
      </c>
      <c r="K8" s="3"/>
      <c r="L8" s="3"/>
      <c r="M8" s="3"/>
      <c r="N8" s="3"/>
      <c r="O8" s="3"/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1:1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1:1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spans="1:1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1:1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1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spans="1:1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spans="1:1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spans="1:1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</sheetData>
  <mergeCells count="1">
    <mergeCell ref="A1:J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0"/>
  <sheetViews>
    <sheetView workbookViewId="0"/>
  </sheetViews>
  <sheetFormatPr defaultRowHeight="13.8"/>
  <cols>
    <col min="1" max="1" width="25" customWidth="1"/>
    <col min="2" max="2" width="5.09765625" customWidth="1"/>
    <col min="3" max="3" width="17" customWidth="1"/>
    <col min="4" max="4" width="8.19921875" customWidth="1"/>
    <col min="5" max="5" width="8.09765625" customWidth="1"/>
    <col min="6" max="6" width="3.69921875" customWidth="1"/>
    <col min="7" max="7" width="14.59765625" customWidth="1"/>
    <col min="8" max="8" width="9.5" customWidth="1"/>
  </cols>
  <sheetData>
    <row r="1" spans="1:15">
      <c r="A1" s="8" t="s">
        <v>104</v>
      </c>
      <c r="B1" s="9"/>
      <c r="C1" s="9"/>
      <c r="D1" s="9"/>
      <c r="E1" s="9"/>
      <c r="F1" s="9"/>
      <c r="G1" s="9"/>
      <c r="H1" s="9"/>
      <c r="I1" s="3"/>
      <c r="J1" s="3"/>
      <c r="K1" s="3"/>
      <c r="L1" s="3"/>
      <c r="M1" s="3"/>
      <c r="N1" s="3"/>
      <c r="O1" s="3"/>
    </row>
    <row r="2" spans="1:1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27.6">
      <c r="A3" s="2" t="s">
        <v>69</v>
      </c>
      <c r="B3" s="2" t="s">
        <v>105</v>
      </c>
      <c r="C3" s="2" t="s">
        <v>106</v>
      </c>
      <c r="D3" s="2" t="s">
        <v>107</v>
      </c>
      <c r="E3" s="2" t="s">
        <v>108</v>
      </c>
      <c r="F3" s="2" t="s">
        <v>109</v>
      </c>
      <c r="G3" s="2" t="s">
        <v>110</v>
      </c>
      <c r="H3" s="2" t="s">
        <v>111</v>
      </c>
      <c r="I3" s="3"/>
      <c r="J3" s="3"/>
      <c r="K3" s="3"/>
      <c r="L3" s="3"/>
      <c r="M3" s="3"/>
      <c r="N3" s="3"/>
      <c r="O3" s="3"/>
    </row>
    <row r="4" spans="1:15" ht="27.6">
      <c r="A4" s="3" t="s">
        <v>78</v>
      </c>
      <c r="B4" s="3" t="s">
        <v>112</v>
      </c>
      <c r="C4" s="3" t="s">
        <v>113</v>
      </c>
      <c r="D4" s="3">
        <v>172</v>
      </c>
      <c r="E4" s="3">
        <v>74</v>
      </c>
      <c r="F4" s="6">
        <f>E4/((D4/100)^2)</f>
        <v>25.013520822065985</v>
      </c>
      <c r="G4" s="3" t="s">
        <v>114</v>
      </c>
      <c r="H4" s="3" t="s">
        <v>102</v>
      </c>
      <c r="I4" s="3"/>
      <c r="J4" s="3"/>
      <c r="K4" s="3"/>
      <c r="L4" s="3"/>
      <c r="M4" s="3"/>
      <c r="N4" s="3"/>
      <c r="O4" s="3"/>
    </row>
    <row r="5" spans="1:15" ht="27.6">
      <c r="A5" s="3" t="s">
        <v>82</v>
      </c>
      <c r="B5" s="3" t="s">
        <v>115</v>
      </c>
      <c r="C5" s="3" t="s">
        <v>113</v>
      </c>
      <c r="D5" s="3">
        <v>165</v>
      </c>
      <c r="E5" s="3">
        <v>68</v>
      </c>
      <c r="F5" s="6">
        <f>E5/((D5/100)^2)</f>
        <v>24.977043158861342</v>
      </c>
      <c r="G5" s="3" t="s">
        <v>114</v>
      </c>
      <c r="H5" s="3" t="s">
        <v>102</v>
      </c>
      <c r="I5" s="3"/>
      <c r="J5" s="3"/>
      <c r="K5" s="3"/>
      <c r="L5" s="3"/>
      <c r="M5" s="3"/>
      <c r="N5" s="3"/>
      <c r="O5" s="3"/>
    </row>
    <row r="6" spans="1:15" ht="27.6">
      <c r="A6" s="3" t="s">
        <v>84</v>
      </c>
      <c r="B6" s="3" t="s">
        <v>112</v>
      </c>
      <c r="C6" s="3" t="s">
        <v>113</v>
      </c>
      <c r="D6" s="3">
        <v>178</v>
      </c>
      <c r="E6" s="3">
        <v>82</v>
      </c>
      <c r="F6" s="6">
        <f>E6/((D6/100)^2)</f>
        <v>25.880570635020831</v>
      </c>
      <c r="G6" s="3" t="s">
        <v>114</v>
      </c>
      <c r="H6" s="3" t="s">
        <v>102</v>
      </c>
      <c r="I6" s="3"/>
      <c r="J6" s="3"/>
      <c r="K6" s="3"/>
      <c r="L6" s="3"/>
      <c r="M6" s="3"/>
      <c r="N6" s="3"/>
      <c r="O6" s="3"/>
    </row>
    <row r="7" spans="1:15" ht="27.6">
      <c r="A7" s="3" t="s">
        <v>87</v>
      </c>
      <c r="B7" s="3" t="s">
        <v>116</v>
      </c>
      <c r="C7" s="3" t="s">
        <v>113</v>
      </c>
      <c r="D7" s="3">
        <v>160</v>
      </c>
      <c r="E7" s="3">
        <v>70</v>
      </c>
      <c r="F7" s="6">
        <f>E7/((D7/100)^2)</f>
        <v>27.343749999999996</v>
      </c>
      <c r="G7" s="3" t="s">
        <v>114</v>
      </c>
      <c r="H7" s="3" t="s">
        <v>102</v>
      </c>
      <c r="I7" s="3"/>
      <c r="J7" s="3"/>
      <c r="K7" s="3"/>
      <c r="L7" s="3"/>
      <c r="M7" s="3"/>
      <c r="N7" s="3"/>
      <c r="O7" s="3"/>
    </row>
    <row r="8" spans="1:15" ht="27.6">
      <c r="A8" s="3" t="s">
        <v>90</v>
      </c>
      <c r="B8" s="3" t="s">
        <v>115</v>
      </c>
      <c r="C8" s="3" t="s">
        <v>117</v>
      </c>
      <c r="D8" s="3">
        <v>168</v>
      </c>
      <c r="E8" s="3">
        <v>65</v>
      </c>
      <c r="F8" s="6">
        <f>E8/((D8/100)^2)</f>
        <v>23.030045351473927</v>
      </c>
      <c r="G8" s="3" t="s">
        <v>114</v>
      </c>
      <c r="H8" s="3" t="s">
        <v>102</v>
      </c>
      <c r="I8" s="3"/>
      <c r="J8" s="3"/>
      <c r="K8" s="3"/>
      <c r="L8" s="3"/>
      <c r="M8" s="3"/>
      <c r="N8" s="3"/>
      <c r="O8" s="3"/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1:1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1:1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spans="1:1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1:1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1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spans="1:1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spans="1:1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spans="1:1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0"/>
  <sheetViews>
    <sheetView workbookViewId="0"/>
  </sheetViews>
  <sheetFormatPr defaultRowHeight="13.8"/>
  <cols>
    <col min="1" max="1" width="45.19921875" customWidth="1"/>
    <col min="2" max="2" width="9.09765625" customWidth="1"/>
    <col min="3" max="3" width="7.5" customWidth="1"/>
    <col min="4" max="4" width="9.8984375" customWidth="1"/>
    <col min="5" max="5" width="12.69921875" customWidth="1"/>
    <col min="6" max="6" width="6.3984375" customWidth="1"/>
    <col min="7" max="7" width="6.59765625" customWidth="1"/>
    <col min="8" max="8" width="13.69921875" customWidth="1"/>
    <col min="9" max="9" width="16.5" customWidth="1"/>
    <col min="10" max="10" width="27.09765625" customWidth="1"/>
    <col min="11" max="11" width="14.5" customWidth="1"/>
  </cols>
  <sheetData>
    <row r="1" spans="1:15">
      <c r="A1" s="8" t="s">
        <v>118</v>
      </c>
      <c r="B1" s="9"/>
      <c r="C1" s="9"/>
      <c r="D1" s="9"/>
      <c r="E1" s="9"/>
      <c r="F1" s="9"/>
      <c r="G1" s="9"/>
      <c r="H1" s="9"/>
      <c r="I1" s="9"/>
      <c r="J1" s="9"/>
      <c r="K1" s="9"/>
      <c r="L1" s="3"/>
      <c r="M1" s="3"/>
      <c r="N1" s="3"/>
      <c r="O1" s="3"/>
    </row>
    <row r="2" spans="1:1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27.6">
      <c r="A3" s="2" t="s">
        <v>69</v>
      </c>
      <c r="B3" s="2" t="s">
        <v>119</v>
      </c>
      <c r="C3" s="2" t="s">
        <v>120</v>
      </c>
      <c r="D3" s="2" t="s">
        <v>121</v>
      </c>
      <c r="E3" s="2" t="s">
        <v>122</v>
      </c>
      <c r="F3" s="2" t="s">
        <v>123</v>
      </c>
      <c r="G3" s="2" t="s">
        <v>124</v>
      </c>
      <c r="H3" s="2" t="s">
        <v>125</v>
      </c>
      <c r="I3" s="2" t="s">
        <v>126</v>
      </c>
      <c r="J3" s="2" t="s">
        <v>127</v>
      </c>
      <c r="K3" s="2" t="s">
        <v>128</v>
      </c>
      <c r="L3" s="3"/>
      <c r="M3" s="3"/>
      <c r="N3" s="3"/>
      <c r="O3" s="3"/>
    </row>
    <row r="4" spans="1:15" ht="27.6">
      <c r="A4" s="3" t="s">
        <v>78</v>
      </c>
      <c r="B4" s="5">
        <v>46145</v>
      </c>
      <c r="C4" s="3">
        <v>13.2</v>
      </c>
      <c r="D4" s="3">
        <v>6.4</v>
      </c>
      <c r="E4" s="3">
        <v>250</v>
      </c>
      <c r="F4" s="3">
        <v>35</v>
      </c>
      <c r="G4" s="3">
        <v>32</v>
      </c>
      <c r="H4" s="3">
        <v>0.9</v>
      </c>
      <c r="I4" s="3" t="s">
        <v>129</v>
      </c>
      <c r="J4" s="3" t="s">
        <v>130</v>
      </c>
      <c r="K4" s="3" t="s">
        <v>131</v>
      </c>
      <c r="L4" s="3"/>
      <c r="M4" s="3"/>
      <c r="N4" s="3"/>
      <c r="O4" s="3"/>
    </row>
    <row r="5" spans="1:15" ht="27.6">
      <c r="A5" s="3" t="s">
        <v>82</v>
      </c>
      <c r="B5" s="5">
        <v>46147</v>
      </c>
      <c r="C5" s="3">
        <v>12.5</v>
      </c>
      <c r="D5" s="3">
        <v>5.8</v>
      </c>
      <c r="E5" s="3">
        <v>210</v>
      </c>
      <c r="F5" s="3">
        <v>28</v>
      </c>
      <c r="G5" s="3">
        <v>30</v>
      </c>
      <c r="H5" s="3">
        <v>0.8</v>
      </c>
      <c r="I5" s="3" t="s">
        <v>129</v>
      </c>
      <c r="J5" s="3" t="s">
        <v>132</v>
      </c>
      <c r="K5" s="3" t="s">
        <v>133</v>
      </c>
      <c r="L5" s="3"/>
      <c r="M5" s="3"/>
      <c r="N5" s="3"/>
      <c r="O5" s="3"/>
    </row>
    <row r="6" spans="1:15">
      <c r="A6" s="3" t="s">
        <v>84</v>
      </c>
      <c r="B6" s="5">
        <v>46147</v>
      </c>
      <c r="C6" s="3">
        <v>99.9</v>
      </c>
      <c r="D6" s="3">
        <v>6</v>
      </c>
      <c r="E6" s="3">
        <v>240</v>
      </c>
      <c r="F6" s="3">
        <v>40</v>
      </c>
      <c r="G6" s="3">
        <v>38</v>
      </c>
      <c r="H6" s="3">
        <v>1</v>
      </c>
      <c r="I6" s="3" t="s">
        <v>129</v>
      </c>
      <c r="J6" s="3" t="s">
        <v>134</v>
      </c>
      <c r="K6" s="3" t="s">
        <v>135</v>
      </c>
      <c r="L6" s="3"/>
      <c r="M6" s="3"/>
      <c r="N6" s="3"/>
      <c r="O6" s="3"/>
    </row>
    <row r="7" spans="1:15">
      <c r="A7" s="3" t="s">
        <v>87</v>
      </c>
      <c r="B7" s="5">
        <v>46150</v>
      </c>
      <c r="C7" s="3">
        <v>11.9</v>
      </c>
      <c r="D7" s="3">
        <v>7.2</v>
      </c>
      <c r="E7" s="3">
        <v>180</v>
      </c>
      <c r="F7" s="3">
        <v>45</v>
      </c>
      <c r="G7" s="3">
        <v>42</v>
      </c>
      <c r="H7" s="3">
        <v>1.1000000000000001</v>
      </c>
      <c r="I7" s="3" t="s">
        <v>129</v>
      </c>
      <c r="J7" s="3" t="s">
        <v>136</v>
      </c>
      <c r="K7" s="3" t="s">
        <v>131</v>
      </c>
      <c r="L7" s="3"/>
      <c r="M7" s="3"/>
      <c r="N7" s="3"/>
      <c r="O7" s="3"/>
    </row>
    <row r="8" spans="1:15">
      <c r="A8" s="3" t="s">
        <v>90</v>
      </c>
      <c r="B8" s="5">
        <v>46152</v>
      </c>
      <c r="C8" s="3">
        <v>12.8</v>
      </c>
      <c r="D8" s="3">
        <v>5.9</v>
      </c>
      <c r="E8" s="3">
        <v>230</v>
      </c>
      <c r="F8" s="3">
        <v>33</v>
      </c>
      <c r="G8" s="3">
        <v>35</v>
      </c>
      <c r="H8" s="3">
        <v>0.95</v>
      </c>
      <c r="I8" s="3" t="s">
        <v>129</v>
      </c>
      <c r="J8" s="3" t="s">
        <v>136</v>
      </c>
      <c r="K8" s="3" t="s">
        <v>131</v>
      </c>
      <c r="L8" s="3"/>
      <c r="M8" s="3"/>
      <c r="N8" s="3"/>
      <c r="O8" s="3"/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1:1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1:1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spans="1:1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1:1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1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spans="1:1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spans="1:1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spans="1:1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</sheetData>
  <mergeCells count="1">
    <mergeCell ref="A1:K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0"/>
  <sheetViews>
    <sheetView tabSelected="1" workbookViewId="0">
      <selection sqref="A1:L1"/>
    </sheetView>
  </sheetViews>
  <sheetFormatPr defaultRowHeight="13.8"/>
  <cols>
    <col min="1" max="1" width="54.09765625" customWidth="1"/>
    <col min="2" max="2" width="9" customWidth="1"/>
    <col min="3" max="3" width="10.59765625" customWidth="1"/>
    <col min="4" max="4" width="9.8984375" customWidth="1"/>
    <col min="5" max="5" width="7.69921875" customWidth="1"/>
    <col min="6" max="6" width="7.59765625" customWidth="1"/>
    <col min="7" max="7" width="9.3984375" customWidth="1"/>
    <col min="8" max="8" width="12.69921875" customWidth="1"/>
    <col min="9" max="9" width="13.19921875" customWidth="1"/>
    <col min="10" max="10" width="13.09765625" customWidth="1"/>
    <col min="11" max="11" width="11.19921875" customWidth="1"/>
    <col min="12" max="12" width="25.19921875" customWidth="1"/>
  </cols>
  <sheetData>
    <row r="1" spans="1:15">
      <c r="A1" s="8" t="s">
        <v>137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3"/>
      <c r="N1" s="3"/>
      <c r="O1" s="3"/>
    </row>
    <row r="2" spans="1:1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27.6">
      <c r="A3" s="2" t="s">
        <v>69</v>
      </c>
      <c r="B3" s="2" t="s">
        <v>138</v>
      </c>
      <c r="C3" s="2" t="s">
        <v>139</v>
      </c>
      <c r="D3" s="2" t="s">
        <v>140</v>
      </c>
      <c r="E3" s="2" t="s">
        <v>141</v>
      </c>
      <c r="F3" s="2" t="s">
        <v>142</v>
      </c>
      <c r="G3" s="2" t="s">
        <v>143</v>
      </c>
      <c r="H3" s="2" t="s">
        <v>144</v>
      </c>
      <c r="I3" s="2" t="s">
        <v>145</v>
      </c>
      <c r="J3" s="2" t="s">
        <v>146</v>
      </c>
      <c r="K3" s="2" t="s">
        <v>147</v>
      </c>
      <c r="L3" s="2" t="s">
        <v>128</v>
      </c>
      <c r="M3" s="3"/>
      <c r="N3" s="3"/>
      <c r="O3" s="3"/>
    </row>
    <row r="4" spans="1:15" ht="27.6">
      <c r="A4" s="3" t="s">
        <v>78</v>
      </c>
      <c r="B4" s="3" t="s">
        <v>148</v>
      </c>
      <c r="C4" s="5">
        <v>46147</v>
      </c>
      <c r="D4" s="5"/>
      <c r="E4" s="3" t="s">
        <v>80</v>
      </c>
      <c r="F4" s="3">
        <v>1</v>
      </c>
      <c r="G4" s="3" t="s">
        <v>129</v>
      </c>
      <c r="H4" s="3" t="s">
        <v>129</v>
      </c>
      <c r="I4" s="3" t="s">
        <v>149</v>
      </c>
      <c r="J4" s="3" t="s">
        <v>150</v>
      </c>
      <c r="K4" s="3" t="s">
        <v>151</v>
      </c>
      <c r="L4" s="3" t="s">
        <v>131</v>
      </c>
      <c r="M4" s="3"/>
      <c r="N4" s="3"/>
      <c r="O4" s="3"/>
    </row>
    <row r="5" spans="1:15" ht="27.6">
      <c r="A5" s="3" t="s">
        <v>82</v>
      </c>
      <c r="B5" s="3" t="s">
        <v>152</v>
      </c>
      <c r="C5" s="5">
        <v>46158</v>
      </c>
      <c r="D5" s="5">
        <v>46160</v>
      </c>
      <c r="E5" s="3" t="s">
        <v>129</v>
      </c>
      <c r="F5" s="3">
        <v>2</v>
      </c>
      <c r="G5" s="3" t="s">
        <v>129</v>
      </c>
      <c r="H5" s="3" t="s">
        <v>129</v>
      </c>
      <c r="I5" s="3" t="s">
        <v>149</v>
      </c>
      <c r="J5" s="3" t="s">
        <v>150</v>
      </c>
      <c r="K5" s="3" t="s">
        <v>153</v>
      </c>
      <c r="L5" s="3" t="s">
        <v>131</v>
      </c>
      <c r="M5" s="3"/>
      <c r="N5" s="3"/>
      <c r="O5" s="3"/>
    </row>
    <row r="6" spans="1:15" ht="27.6">
      <c r="A6" s="3" t="s">
        <v>84</v>
      </c>
      <c r="B6" s="3" t="s">
        <v>154</v>
      </c>
      <c r="C6" s="5">
        <v>46150</v>
      </c>
      <c r="D6" s="5">
        <v>46151</v>
      </c>
      <c r="E6" s="3" t="s">
        <v>129</v>
      </c>
      <c r="F6" s="3">
        <v>1</v>
      </c>
      <c r="G6" s="3" t="s">
        <v>129</v>
      </c>
      <c r="H6" s="3" t="s">
        <v>129</v>
      </c>
      <c r="I6" s="3" t="s">
        <v>155</v>
      </c>
      <c r="J6" s="3" t="s">
        <v>150</v>
      </c>
      <c r="K6" s="3" t="s">
        <v>153</v>
      </c>
      <c r="L6" s="3" t="s">
        <v>131</v>
      </c>
      <c r="M6" s="3"/>
      <c r="N6" s="3"/>
      <c r="O6" s="3"/>
    </row>
    <row r="7" spans="1:15" ht="27.6">
      <c r="A7" s="3" t="s">
        <v>87</v>
      </c>
      <c r="B7" s="3" t="s">
        <v>156</v>
      </c>
      <c r="C7" s="5">
        <v>46162</v>
      </c>
      <c r="D7" s="5"/>
      <c r="E7" s="3" t="s">
        <v>80</v>
      </c>
      <c r="F7" s="3">
        <v>3</v>
      </c>
      <c r="G7" s="3" t="s">
        <v>80</v>
      </c>
      <c r="H7" s="3" t="s">
        <v>129</v>
      </c>
      <c r="I7" s="3" t="s">
        <v>149</v>
      </c>
      <c r="J7" s="3" t="s">
        <v>157</v>
      </c>
      <c r="K7" s="3" t="s">
        <v>158</v>
      </c>
      <c r="L7" s="3" t="s">
        <v>159</v>
      </c>
      <c r="M7" s="3"/>
      <c r="N7" s="3"/>
      <c r="O7" s="3"/>
    </row>
    <row r="8" spans="1:15" ht="27.6">
      <c r="A8" s="3" t="s">
        <v>90</v>
      </c>
      <c r="B8" s="3" t="s">
        <v>160</v>
      </c>
      <c r="C8" s="5">
        <v>46157</v>
      </c>
      <c r="D8" s="5"/>
      <c r="E8" s="3" t="s">
        <v>80</v>
      </c>
      <c r="F8" s="3">
        <v>2</v>
      </c>
      <c r="G8" s="3" t="s">
        <v>129</v>
      </c>
      <c r="H8" s="3" t="s">
        <v>129</v>
      </c>
      <c r="I8" s="3" t="s">
        <v>161</v>
      </c>
      <c r="J8" s="3" t="s">
        <v>150</v>
      </c>
      <c r="K8" s="3" t="s">
        <v>151</v>
      </c>
      <c r="L8" s="3" t="s">
        <v>131</v>
      </c>
      <c r="M8" s="3"/>
      <c r="N8" s="3"/>
      <c r="O8" s="3"/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1:1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1:1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spans="1:1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1:1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1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spans="1:1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spans="1:1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spans="1:1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</sheetData>
  <mergeCells count="1">
    <mergeCell ref="A1:L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0"/>
  <sheetViews>
    <sheetView workbookViewId="0"/>
  </sheetViews>
  <sheetFormatPr defaultRowHeight="13.8"/>
  <cols>
    <col min="1" max="1" width="57.59765625" customWidth="1"/>
    <col min="2" max="2" width="13.5" customWidth="1"/>
    <col min="3" max="3" width="16" customWidth="1"/>
    <col min="4" max="4" width="17.59765625" customWidth="1"/>
    <col min="5" max="5" width="16.3984375" customWidth="1"/>
    <col min="6" max="6" width="13.09765625" customWidth="1"/>
    <col min="7" max="8" width="21.8984375" customWidth="1"/>
    <col min="9" max="9" width="18.5" customWidth="1"/>
  </cols>
  <sheetData>
    <row r="1" spans="1:15">
      <c r="A1" s="8" t="s">
        <v>162</v>
      </c>
      <c r="B1" s="9"/>
      <c r="C1" s="9"/>
      <c r="D1" s="9"/>
      <c r="E1" s="9"/>
      <c r="F1" s="9"/>
      <c r="G1" s="9"/>
      <c r="H1" s="9"/>
      <c r="I1" s="9"/>
      <c r="J1" s="3"/>
      <c r="K1" s="3"/>
      <c r="L1" s="3"/>
      <c r="M1" s="3"/>
      <c r="N1" s="3"/>
      <c r="O1" s="3"/>
    </row>
    <row r="2" spans="1:1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27.6">
      <c r="A3" s="2" t="s">
        <v>69</v>
      </c>
      <c r="B3" s="2" t="s">
        <v>163</v>
      </c>
      <c r="C3" s="2" t="s">
        <v>164</v>
      </c>
      <c r="D3" s="2" t="s">
        <v>165</v>
      </c>
      <c r="E3" s="2" t="s">
        <v>166</v>
      </c>
      <c r="F3" s="2" t="s">
        <v>167</v>
      </c>
      <c r="G3" s="2" t="s">
        <v>168</v>
      </c>
      <c r="H3" s="2" t="s">
        <v>169</v>
      </c>
      <c r="I3" s="2" t="s">
        <v>128</v>
      </c>
      <c r="J3" s="3"/>
      <c r="K3" s="3"/>
      <c r="L3" s="3"/>
      <c r="M3" s="3"/>
      <c r="N3" s="3"/>
      <c r="O3" s="3"/>
    </row>
    <row r="4" spans="1:15" ht="27.6">
      <c r="A4" s="3" t="s">
        <v>78</v>
      </c>
      <c r="B4" s="5">
        <v>46174</v>
      </c>
      <c r="C4" s="3" t="s">
        <v>170</v>
      </c>
      <c r="D4" s="3">
        <v>45</v>
      </c>
      <c r="E4" s="3" t="s">
        <v>129</v>
      </c>
      <c r="F4" s="3" t="s">
        <v>171</v>
      </c>
      <c r="G4" s="3" t="s">
        <v>80</v>
      </c>
      <c r="H4" s="3" t="s">
        <v>172</v>
      </c>
      <c r="I4" s="3" t="s">
        <v>131</v>
      </c>
      <c r="J4" s="3"/>
      <c r="K4" s="3"/>
      <c r="L4" s="3"/>
      <c r="M4" s="3"/>
      <c r="N4" s="3"/>
      <c r="O4" s="3"/>
    </row>
    <row r="5" spans="1:15">
      <c r="A5" s="3" t="s">
        <v>82</v>
      </c>
      <c r="B5" s="5">
        <v>46185</v>
      </c>
      <c r="C5" s="3" t="s">
        <v>170</v>
      </c>
      <c r="D5" s="3">
        <v>38</v>
      </c>
      <c r="E5" s="3" t="s">
        <v>129</v>
      </c>
      <c r="F5" s="3" t="s">
        <v>173</v>
      </c>
      <c r="G5" s="3" t="s">
        <v>80</v>
      </c>
      <c r="H5" s="3" t="s">
        <v>174</v>
      </c>
      <c r="I5" s="3" t="s">
        <v>131</v>
      </c>
      <c r="J5" s="3"/>
      <c r="K5" s="3"/>
      <c r="L5" s="3"/>
      <c r="M5" s="3"/>
      <c r="N5" s="3"/>
      <c r="O5" s="3"/>
    </row>
    <row r="6" spans="1:15">
      <c r="A6" s="3" t="s">
        <v>84</v>
      </c>
      <c r="B6" s="5">
        <v>46177</v>
      </c>
      <c r="C6" s="3" t="s">
        <v>175</v>
      </c>
      <c r="D6" s="3">
        <v>50</v>
      </c>
      <c r="E6" s="3" t="s">
        <v>129</v>
      </c>
      <c r="F6" s="3" t="s">
        <v>171</v>
      </c>
      <c r="G6" s="3" t="s">
        <v>80</v>
      </c>
      <c r="H6" s="3" t="s">
        <v>176</v>
      </c>
      <c r="I6" s="3" t="s">
        <v>131</v>
      </c>
      <c r="J6" s="3"/>
      <c r="K6" s="3"/>
      <c r="L6" s="3"/>
      <c r="M6" s="3"/>
      <c r="N6" s="3"/>
      <c r="O6" s="3"/>
    </row>
    <row r="7" spans="1:15">
      <c r="A7" s="3" t="s">
        <v>87</v>
      </c>
      <c r="B7" s="5">
        <v>46180</v>
      </c>
      <c r="C7" s="3" t="s">
        <v>170</v>
      </c>
      <c r="D7" s="3">
        <v>70</v>
      </c>
      <c r="E7" s="3" t="s">
        <v>80</v>
      </c>
      <c r="F7" s="3" t="s">
        <v>177</v>
      </c>
      <c r="G7" s="3" t="s">
        <v>80</v>
      </c>
      <c r="H7" s="3" t="s">
        <v>178</v>
      </c>
      <c r="I7" s="3" t="s">
        <v>131</v>
      </c>
      <c r="J7" s="3"/>
      <c r="K7" s="3"/>
      <c r="L7" s="3"/>
      <c r="M7" s="3"/>
      <c r="N7" s="3"/>
      <c r="O7" s="3"/>
    </row>
    <row r="8" spans="1:15" ht="27.6">
      <c r="A8" s="3" t="s">
        <v>90</v>
      </c>
      <c r="B8" s="5">
        <v>46183</v>
      </c>
      <c r="C8" s="3" t="s">
        <v>170</v>
      </c>
      <c r="D8" s="3">
        <v>60</v>
      </c>
      <c r="E8" s="3" t="s">
        <v>129</v>
      </c>
      <c r="F8" s="3"/>
      <c r="G8" s="3" t="s">
        <v>80</v>
      </c>
      <c r="H8" s="3" t="s">
        <v>179</v>
      </c>
      <c r="I8" s="3" t="s">
        <v>92</v>
      </c>
      <c r="J8" s="3"/>
      <c r="K8" s="3"/>
      <c r="L8" s="3"/>
      <c r="M8" s="3"/>
      <c r="N8" s="3"/>
      <c r="O8" s="3"/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1:1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1:1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spans="1:1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1:1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1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spans="1:1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spans="1:1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spans="1:1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</sheetData>
  <mergeCells count="1">
    <mergeCell ref="A1:I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0"/>
  <sheetViews>
    <sheetView workbookViewId="0"/>
  </sheetViews>
  <sheetFormatPr defaultRowHeight="13.8"/>
  <cols>
    <col min="1" max="1" width="26.5" customWidth="1"/>
    <col min="2" max="2" width="8.19921875" customWidth="1"/>
    <col min="3" max="3" width="25.19921875" customWidth="1"/>
    <col min="4" max="4" width="14.5" customWidth="1"/>
    <col min="5" max="5" width="12.8984375" customWidth="1"/>
    <col min="6" max="6" width="16.5" customWidth="1"/>
    <col min="7" max="7" width="44.3984375" customWidth="1"/>
    <col min="8" max="8" width="89.3984375" customWidth="1"/>
    <col min="9" max="9" width="9.09765625" customWidth="1"/>
    <col min="10" max="10" width="8.8984375" customWidth="1"/>
    <col min="11" max="11" width="21.09765625" customWidth="1"/>
    <col min="12" max="12" width="49.5" customWidth="1"/>
    <col min="13" max="13" width="30.3984375" customWidth="1"/>
    <col min="14" max="14" width="9.59765625" customWidth="1"/>
    <col min="15" max="15" width="13.09765625" customWidth="1"/>
  </cols>
  <sheetData>
    <row r="1" spans="1:15">
      <c r="A1" s="8" t="s">
        <v>180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27.6">
      <c r="A3" s="2" t="s">
        <v>181</v>
      </c>
      <c r="B3" s="2" t="s">
        <v>69</v>
      </c>
      <c r="C3" s="2" t="s">
        <v>70</v>
      </c>
      <c r="D3" s="2" t="s">
        <v>182</v>
      </c>
      <c r="E3" s="2" t="s">
        <v>183</v>
      </c>
      <c r="F3" s="2" t="s">
        <v>184</v>
      </c>
      <c r="G3" s="2" t="s">
        <v>185</v>
      </c>
      <c r="H3" s="2" t="s">
        <v>186</v>
      </c>
      <c r="I3" s="2" t="s">
        <v>187</v>
      </c>
      <c r="J3" s="2" t="s">
        <v>188</v>
      </c>
      <c r="K3" s="2" t="s">
        <v>189</v>
      </c>
      <c r="L3" s="2" t="s">
        <v>190</v>
      </c>
      <c r="M3" s="2" t="s">
        <v>191</v>
      </c>
      <c r="N3" s="2" t="s">
        <v>192</v>
      </c>
      <c r="O3" s="2" t="s">
        <v>193</v>
      </c>
    </row>
    <row r="4" spans="1:15" ht="27.6">
      <c r="A4" s="3" t="s">
        <v>194</v>
      </c>
      <c r="B4" s="3" t="s">
        <v>82</v>
      </c>
      <c r="C4" s="3" t="s">
        <v>79</v>
      </c>
      <c r="D4" s="3" t="s">
        <v>195</v>
      </c>
      <c r="E4" s="3" t="s">
        <v>119</v>
      </c>
      <c r="F4" s="3" t="s">
        <v>196</v>
      </c>
      <c r="G4" s="3" t="s">
        <v>197</v>
      </c>
      <c r="H4" s="3" t="s">
        <v>198</v>
      </c>
      <c r="I4" s="5">
        <v>46188</v>
      </c>
      <c r="J4" s="3">
        <f ca="1">IF(K4="Closed",N4-I4,TODAY()-I4)</f>
        <v>3</v>
      </c>
      <c r="K4" s="3" t="s">
        <v>199</v>
      </c>
      <c r="L4" s="3" t="s">
        <v>200</v>
      </c>
      <c r="M4" s="3" t="s">
        <v>201</v>
      </c>
      <c r="N4" s="5">
        <v>46191</v>
      </c>
      <c r="O4" s="3" t="s">
        <v>202</v>
      </c>
    </row>
    <row r="5" spans="1:15" ht="27.6">
      <c r="A5" s="3" t="s">
        <v>203</v>
      </c>
      <c r="B5" s="3" t="s">
        <v>84</v>
      </c>
      <c r="C5" s="3" t="s">
        <v>85</v>
      </c>
      <c r="D5" s="3" t="s">
        <v>195</v>
      </c>
      <c r="E5" s="3" t="s">
        <v>204</v>
      </c>
      <c r="F5" s="3" t="s">
        <v>205</v>
      </c>
      <c r="G5" s="3" t="s">
        <v>206</v>
      </c>
      <c r="H5" s="3" t="s">
        <v>207</v>
      </c>
      <c r="I5" s="5">
        <v>46188</v>
      </c>
      <c r="J5" s="3">
        <f ca="1">IF(K5="Closed",N5-I5,TODAY()-I5)</f>
        <v>2</v>
      </c>
      <c r="K5" s="3" t="s">
        <v>199</v>
      </c>
      <c r="L5" s="3" t="s">
        <v>208</v>
      </c>
      <c r="M5" s="3" t="s">
        <v>209</v>
      </c>
      <c r="N5" s="5">
        <v>46190</v>
      </c>
      <c r="O5" s="3" t="s">
        <v>202</v>
      </c>
    </row>
    <row r="6" spans="1:15" ht="27.6">
      <c r="A6" s="3" t="s">
        <v>210</v>
      </c>
      <c r="B6" s="3" t="s">
        <v>87</v>
      </c>
      <c r="C6" s="3" t="s">
        <v>88</v>
      </c>
      <c r="D6" s="3" t="s">
        <v>211</v>
      </c>
      <c r="E6" s="3" t="s">
        <v>212</v>
      </c>
      <c r="F6" s="3" t="s">
        <v>213</v>
      </c>
      <c r="G6" s="3" t="s">
        <v>214</v>
      </c>
      <c r="H6" s="3" t="s">
        <v>215</v>
      </c>
      <c r="I6" s="5">
        <v>46188</v>
      </c>
      <c r="J6" s="3">
        <f ca="1">IF(K6="Closed",N6-I6,TODAY()-I6)</f>
        <v>57</v>
      </c>
      <c r="K6" s="3" t="s">
        <v>216</v>
      </c>
      <c r="L6" s="3" t="s">
        <v>217</v>
      </c>
      <c r="M6" s="3" t="s">
        <v>218</v>
      </c>
      <c r="N6" s="5"/>
      <c r="O6" s="3" t="s">
        <v>202</v>
      </c>
    </row>
    <row r="7" spans="1:15" ht="27.6">
      <c r="A7" s="3" t="s">
        <v>219</v>
      </c>
      <c r="B7" s="3" t="s">
        <v>90</v>
      </c>
      <c r="C7" s="3" t="s">
        <v>91</v>
      </c>
      <c r="D7" s="3" t="s">
        <v>64</v>
      </c>
      <c r="E7" s="3" t="s">
        <v>167</v>
      </c>
      <c r="F7" s="3" t="s">
        <v>220</v>
      </c>
      <c r="G7" s="3" t="s">
        <v>221</v>
      </c>
      <c r="H7" s="3" t="s">
        <v>222</v>
      </c>
      <c r="I7" s="5">
        <v>46188</v>
      </c>
      <c r="J7" s="3">
        <f ca="1">IF(K7="Closed",N7-I7,TODAY()-I7)</f>
        <v>57</v>
      </c>
      <c r="K7" s="3" t="s">
        <v>223</v>
      </c>
      <c r="L7" s="3" t="s">
        <v>224</v>
      </c>
      <c r="M7" s="3" t="s">
        <v>225</v>
      </c>
      <c r="N7" s="5"/>
      <c r="O7" s="3" t="s">
        <v>202</v>
      </c>
    </row>
    <row r="8" spans="1:1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1:1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1:1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spans="1:1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1:1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1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spans="1:1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spans="1:1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spans="1:1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</sheetData>
  <mergeCells count="1">
    <mergeCell ref="A1:O1"/>
  </mergeCells>
  <conditionalFormatting sqref="K4:K50">
    <cfRule type="expression" dxfId="2" priority="1">
      <formula>K4="Open"</formula>
    </cfRule>
    <cfRule type="expression" dxfId="1" priority="2">
      <formula>K4="Pending CRA/DM Review"</formula>
    </cfRule>
    <cfRule type="expression" dxfId="0" priority="3">
      <formula>K4="Closed"</formula>
    </cfRule>
  </conditionalFormatting>
  <dataValidations count="1">
    <dataValidation type="list" sqref="K4:K50">
      <formula1>"Open,Answered,Resolved,Closed,Pending CRA/DM Review"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0"/>
  <sheetViews>
    <sheetView workbookViewId="0"/>
  </sheetViews>
  <sheetFormatPr defaultRowHeight="13.8"/>
  <cols>
    <col min="1" max="1" width="36.09765625" customWidth="1"/>
    <col min="2" max="2" width="93.5" customWidth="1"/>
    <col min="3" max="3" width="38.19921875" customWidth="1"/>
  </cols>
  <sheetData>
    <row r="1" spans="1:15">
      <c r="A1" s="8" t="s">
        <v>226</v>
      </c>
      <c r="B1" s="9"/>
      <c r="C1" s="9"/>
      <c r="D1" s="9"/>
      <c r="E1" s="9"/>
      <c r="F1" s="9"/>
      <c r="G1" s="9"/>
      <c r="H1" s="9"/>
      <c r="I1" s="3"/>
      <c r="J1" s="3"/>
      <c r="K1" s="3"/>
      <c r="L1" s="3"/>
      <c r="M1" s="3"/>
      <c r="N1" s="3"/>
      <c r="O1" s="3"/>
    </row>
    <row r="2" spans="1:1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27.6">
      <c r="A3" s="2" t="s">
        <v>227</v>
      </c>
      <c r="B3" s="2" t="s">
        <v>228</v>
      </c>
      <c r="C3" s="2" t="s">
        <v>229</v>
      </c>
      <c r="D3" s="3"/>
      <c r="E3" s="2" t="s">
        <v>189</v>
      </c>
      <c r="F3" s="2" t="s">
        <v>230</v>
      </c>
      <c r="G3" s="2" t="s">
        <v>77</v>
      </c>
      <c r="H3" s="3"/>
      <c r="I3" s="3"/>
      <c r="J3" s="3"/>
      <c r="K3" s="3"/>
      <c r="L3" s="3"/>
      <c r="M3" s="3"/>
      <c r="N3" s="3"/>
      <c r="O3" s="3"/>
    </row>
    <row r="4" spans="1:15" ht="27.6">
      <c r="A4" s="3" t="s">
        <v>231</v>
      </c>
      <c r="B4" s="3">
        <v>5</v>
      </c>
      <c r="C4" s="3" t="s">
        <v>232</v>
      </c>
      <c r="D4" s="3"/>
      <c r="E4" s="3" t="s">
        <v>199</v>
      </c>
      <c r="F4" s="3">
        <f>COUNTIF('Query Tracker'!K4:K7,E4)</f>
        <v>2</v>
      </c>
      <c r="G4" s="3" t="s">
        <v>233</v>
      </c>
      <c r="H4" s="3"/>
      <c r="I4" s="3"/>
      <c r="J4" s="3"/>
      <c r="K4" s="3"/>
      <c r="L4" s="3"/>
      <c r="M4" s="3"/>
      <c r="N4" s="3"/>
      <c r="O4" s="3"/>
    </row>
    <row r="5" spans="1:15" ht="27.6">
      <c r="A5" s="3" t="s">
        <v>234</v>
      </c>
      <c r="B5" s="3">
        <f>COUNTA('Query Tracker'!A4:A7)</f>
        <v>4</v>
      </c>
      <c r="C5" s="3" t="s">
        <v>235</v>
      </c>
      <c r="D5" s="3"/>
      <c r="E5" s="3" t="s">
        <v>216</v>
      </c>
      <c r="F5" s="3">
        <f>COUNTIF('Query Tracker'!K5:K8,E5)</f>
        <v>1</v>
      </c>
      <c r="G5" s="3" t="s">
        <v>236</v>
      </c>
      <c r="H5" s="3"/>
      <c r="I5" s="3"/>
      <c r="J5" s="3"/>
      <c r="K5" s="3"/>
      <c r="L5" s="3"/>
      <c r="M5" s="3"/>
      <c r="N5" s="3"/>
      <c r="O5" s="3"/>
    </row>
    <row r="6" spans="1:15" ht="41.4">
      <c r="A6" s="3" t="s">
        <v>237</v>
      </c>
      <c r="B6" s="3">
        <f>COUNTIF('Query Tracker'!K4:K7,"Closed")</f>
        <v>2</v>
      </c>
      <c r="C6" s="3" t="s">
        <v>238</v>
      </c>
      <c r="D6" s="3"/>
      <c r="E6" s="3" t="s">
        <v>223</v>
      </c>
      <c r="F6" s="3">
        <f>COUNTIF('Query Tracker'!K6:K9,E6)</f>
        <v>1</v>
      </c>
      <c r="G6" s="3" t="s">
        <v>239</v>
      </c>
      <c r="H6" s="3"/>
      <c r="I6" s="3"/>
      <c r="J6" s="3"/>
      <c r="K6" s="3"/>
      <c r="L6" s="3"/>
      <c r="M6" s="3"/>
      <c r="N6" s="3"/>
      <c r="O6" s="3"/>
    </row>
    <row r="7" spans="1:15">
      <c r="A7" s="3" t="s">
        <v>240</v>
      </c>
      <c r="B7" s="3">
        <f>B5-B6</f>
        <v>2</v>
      </c>
      <c r="C7" s="3" t="s">
        <v>241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>
      <c r="A8" s="3" t="s">
        <v>242</v>
      </c>
      <c r="B8" s="7">
        <f>B6/B5</f>
        <v>0.5</v>
      </c>
      <c r="C8" s="3" t="s">
        <v>243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>
      <c r="A9" s="3" t="s">
        <v>244</v>
      </c>
      <c r="B9" s="3">
        <f>COUNTIF('Tumor Assessment'!F4:F8,"CR")+COUNTIF('Tumor Assessment'!F4:F8,"PR")</f>
        <v>1</v>
      </c>
      <c r="C9" s="3" t="s">
        <v>245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>
      <c r="A10" s="3" t="s">
        <v>246</v>
      </c>
      <c r="B10" s="3">
        <f>COUNTIF('Tumor Assessment'!F4:F8,"CR")+COUNTIF('Tumor Assessment'!F4:F8,"PR")+COUNTIF('Tumor Assessment'!F4:F8,"SD")</f>
        <v>3</v>
      </c>
      <c r="C10" s="3" t="s">
        <v>247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>
      <c r="A11" s="3" t="s">
        <v>248</v>
      </c>
      <c r="B11" s="3">
        <f>COUNTIF('Adverse Events'!G4:G8,"Yes")</f>
        <v>1</v>
      </c>
      <c r="C11" s="3" t="s">
        <v>249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ht="27.6">
      <c r="A12" s="3" t="s">
        <v>250</v>
      </c>
      <c r="B12" s="3">
        <v>2</v>
      </c>
      <c r="C12" s="3" t="s">
        <v>251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>
      <c r="A15" s="10" t="s">
        <v>252</v>
      </c>
      <c r="B15" s="9"/>
      <c r="C15" s="9"/>
      <c r="D15" s="9"/>
      <c r="E15" s="9"/>
      <c r="F15" s="9"/>
      <c r="G15" s="9"/>
      <c r="H15" s="9"/>
      <c r="I15" s="3"/>
      <c r="J15" s="3"/>
      <c r="K15" s="3"/>
      <c r="L15" s="3"/>
      <c r="M15" s="3"/>
      <c r="N15" s="3"/>
      <c r="O15" s="3"/>
    </row>
    <row r="16" spans="1:15">
      <c r="A16" s="2" t="s">
        <v>253</v>
      </c>
      <c r="B16" s="2" t="s">
        <v>254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27.6">
      <c r="A17" s="3" t="s">
        <v>255</v>
      </c>
      <c r="B17" s="3" t="s">
        <v>256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ht="27.6">
      <c r="A18" s="3" t="s">
        <v>257</v>
      </c>
      <c r="B18" s="3" t="s">
        <v>258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>
      <c r="A19" s="3" t="s">
        <v>259</v>
      </c>
      <c r="B19" s="3" t="s">
        <v>260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>
      <c r="A20" s="3" t="s">
        <v>261</v>
      </c>
      <c r="B20" s="3" t="s">
        <v>262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>
      <c r="A21" s="3" t="s">
        <v>263</v>
      </c>
      <c r="B21" s="3" t="s">
        <v>264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ht="27.6">
      <c r="A22" s="3" t="s">
        <v>265</v>
      </c>
      <c r="B22" s="3" t="s">
        <v>266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1:1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1:1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spans="1:1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1:1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1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spans="1:1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spans="1:1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spans="1:1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</sheetData>
  <mergeCells count="2">
    <mergeCell ref="A1:H1"/>
    <mergeCell ref="A15:H1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0"/>
  <sheetViews>
    <sheetView workbookViewId="0">
      <selection activeCell="A18" sqref="A18"/>
    </sheetView>
  </sheetViews>
  <sheetFormatPr defaultRowHeight="13.8"/>
  <cols>
    <col min="1" max="1" width="255" customWidth="1"/>
    <col min="2" max="2" width="99" customWidth="1"/>
  </cols>
  <sheetData>
    <row r="1" spans="1:15">
      <c r="A1" s="8" t="s">
        <v>267</v>
      </c>
      <c r="B1" s="9"/>
      <c r="C1" s="9"/>
      <c r="D1" s="9"/>
      <c r="E1" s="9"/>
      <c r="F1" s="9"/>
      <c r="G1" s="9"/>
      <c r="H1" s="9"/>
      <c r="I1" s="3"/>
      <c r="J1" s="3"/>
      <c r="K1" s="3"/>
      <c r="L1" s="3"/>
      <c r="M1" s="3"/>
      <c r="N1" s="3"/>
      <c r="O1" s="3"/>
    </row>
    <row r="2" spans="1:1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>
      <c r="A3" s="1" t="s">
        <v>268</v>
      </c>
      <c r="B3" s="3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>
      <c r="A4" s="1" t="s">
        <v>269</v>
      </c>
      <c r="B4" s="3" t="s">
        <v>270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>
      <c r="A5" s="1" t="s">
        <v>271</v>
      </c>
      <c r="B5" s="3" t="s">
        <v>272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>
      <c r="A6" s="1" t="s">
        <v>273</v>
      </c>
      <c r="B6" s="3" t="s">
        <v>274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>
      <c r="A7" s="1" t="s">
        <v>275</v>
      </c>
      <c r="B7" s="3" t="s">
        <v>276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>
      <c r="A8" s="1" t="s">
        <v>277</v>
      </c>
      <c r="B8" s="3" t="s">
        <v>278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ht="27.6">
      <c r="A9" s="1" t="s">
        <v>279</v>
      </c>
      <c r="B9" s="3" t="s">
        <v>280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27.6">
      <c r="A10" s="1" t="s">
        <v>281</v>
      </c>
      <c r="B10" s="3" t="s">
        <v>282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>
      <c r="A13" s="4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>
      <c r="A14" s="9" t="s">
        <v>283</v>
      </c>
      <c r="B14" s="9"/>
      <c r="C14" s="9"/>
      <c r="D14" s="9"/>
      <c r="E14" s="9"/>
      <c r="F14" s="9"/>
      <c r="G14" s="9"/>
      <c r="H14" s="9"/>
      <c r="I14" s="3"/>
      <c r="J14" s="3"/>
      <c r="K14" s="3"/>
      <c r="L14" s="3"/>
      <c r="M14" s="3"/>
      <c r="N14" s="3"/>
      <c r="O14" s="3"/>
    </row>
    <row r="15" spans="1:15">
      <c r="A15" s="9"/>
      <c r="B15" s="9"/>
      <c r="C15" s="9"/>
      <c r="D15" s="9"/>
      <c r="E15" s="9"/>
      <c r="F15" s="9"/>
      <c r="G15" s="9"/>
      <c r="H15" s="9"/>
      <c r="I15" s="3"/>
      <c r="J15" s="3"/>
      <c r="K15" s="3"/>
      <c r="L15" s="3"/>
      <c r="M15" s="3"/>
      <c r="N15" s="3"/>
      <c r="O15" s="3"/>
    </row>
    <row r="16" spans="1:15">
      <c r="A16" s="9"/>
      <c r="B16" s="9"/>
      <c r="C16" s="9"/>
      <c r="D16" s="9"/>
      <c r="E16" s="9"/>
      <c r="F16" s="9"/>
      <c r="G16" s="9"/>
      <c r="H16" s="9"/>
      <c r="I16" s="3"/>
      <c r="J16" s="3"/>
      <c r="K16" s="3"/>
      <c r="L16" s="3"/>
      <c r="M16" s="3"/>
      <c r="N16" s="3"/>
      <c r="O16" s="3"/>
    </row>
    <row r="17" spans="1:1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>
      <c r="A18" s="4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>
      <c r="A19" s="9"/>
      <c r="B19" s="9"/>
      <c r="C19" s="9"/>
      <c r="D19" s="9"/>
      <c r="E19" s="9"/>
      <c r="F19" s="9"/>
      <c r="G19" s="9"/>
      <c r="H19" s="9"/>
      <c r="I19" s="3"/>
      <c r="J19" s="3"/>
      <c r="K19" s="3"/>
      <c r="L19" s="3"/>
      <c r="M19" s="3"/>
      <c r="N19" s="3"/>
      <c r="O19" s="3"/>
    </row>
    <row r="20" spans="1:15">
      <c r="A20" s="9"/>
      <c r="B20" s="9"/>
      <c r="C20" s="9"/>
      <c r="D20" s="9"/>
      <c r="E20" s="9"/>
      <c r="F20" s="9"/>
      <c r="G20" s="9"/>
      <c r="H20" s="9"/>
      <c r="I20" s="3"/>
      <c r="J20" s="3"/>
      <c r="K20" s="3"/>
      <c r="L20" s="3"/>
      <c r="M20" s="3"/>
      <c r="N20" s="3"/>
      <c r="O20" s="3"/>
    </row>
    <row r="21" spans="1:15">
      <c r="A21" s="9"/>
      <c r="B21" s="9"/>
      <c r="C21" s="9"/>
      <c r="D21" s="9"/>
      <c r="E21" s="9"/>
      <c r="F21" s="9"/>
      <c r="G21" s="9"/>
      <c r="H21" s="9"/>
      <c r="I21" s="3"/>
      <c r="J21" s="3"/>
      <c r="K21" s="3"/>
      <c r="L21" s="3"/>
      <c r="M21" s="3"/>
      <c r="N21" s="3"/>
      <c r="O21" s="3"/>
    </row>
    <row r="22" spans="1:15">
      <c r="A22" s="9"/>
      <c r="B22" s="9"/>
      <c r="C22" s="9"/>
      <c r="D22" s="9"/>
      <c r="E22" s="9"/>
      <c r="F22" s="9"/>
      <c r="G22" s="9"/>
      <c r="H22" s="9"/>
      <c r="I22" s="3"/>
      <c r="J22" s="3"/>
      <c r="K22" s="3"/>
      <c r="L22" s="3"/>
      <c r="M22" s="3"/>
      <c r="N22" s="3"/>
      <c r="O22" s="3"/>
    </row>
    <row r="23" spans="1:1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1:1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1:1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spans="1:1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1:1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1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spans="1:1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spans="1:1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spans="1:1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</sheetData>
  <mergeCells count="3">
    <mergeCell ref="A1:H1"/>
    <mergeCell ref="A14:H16"/>
    <mergeCell ref="A19:H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Protocol Summary</vt:lpstr>
      <vt:lpstr>Subjects &amp; Visits</vt:lpstr>
      <vt:lpstr>Screening</vt:lpstr>
      <vt:lpstr>Demographics</vt:lpstr>
      <vt:lpstr>Labs</vt:lpstr>
      <vt:lpstr>Adverse Events</vt:lpstr>
      <vt:lpstr>Tumor Assessment</vt:lpstr>
      <vt:lpstr>Query Tracker</vt:lpstr>
      <vt:lpstr>Data Review Report</vt:lpstr>
      <vt:lpstr>Portfolio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ishita bansal</cp:lastModifiedBy>
  <dcterms:modified xsi:type="dcterms:W3CDTF">2026-08-11T16:03:11Z</dcterms:modified>
</cp:coreProperties>
</file>